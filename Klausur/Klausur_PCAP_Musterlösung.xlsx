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ce\Downloads\"/>
    </mc:Choice>
  </mc:AlternateContent>
  <xr:revisionPtr revIDLastSave="0" documentId="8_{75A8C75C-890B-468A-849E-E16A8544FB93}" xr6:coauthVersionLast="47" xr6:coauthVersionMax="47" xr10:uidLastSave="{00000000-0000-0000-0000-000000000000}"/>
  <bookViews>
    <workbookView xWindow="-108" yWindow="-108" windowWidth="30936" windowHeight="16776" xr2:uid="{00000000-000D-0000-FFFF-FFFF00000000}"/>
  </bookViews>
  <sheets>
    <sheet name="Klausu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1" l="1"/>
  <c r="G24" i="1" s="1"/>
  <c r="G28" i="1" s="1"/>
  <c r="G26" i="1" s="1"/>
</calcChain>
</file>

<file path=xl/sharedStrings.xml><?xml version="1.0" encoding="utf-8"?>
<sst xmlns="http://schemas.openxmlformats.org/spreadsheetml/2006/main" count="532" uniqueCount="243">
  <si>
    <t>Klausur</t>
  </si>
  <si>
    <t>Modultitel</t>
  </si>
  <si>
    <t>Development Expert Python inkl. Python Certified Associate Programmer Zertifizierung (PCAP)</t>
  </si>
  <si>
    <t>Name, Vorname (Dozent / in)</t>
  </si>
  <si>
    <t>Döbbel, Marcel</t>
  </si>
  <si>
    <t>Name, Vorname (Teilnehmer/in)</t>
  </si>
  <si>
    <t>Zulässige Hilfsmittel::</t>
  </si>
  <si>
    <t>PC Nutzung erlaubt: ja ☒ / nein ☐</t>
  </si>
  <si>
    <t>(Copy &amp; Paste von Internetseiten oder Unterlagen/Büchern wird als Täuschungsversuch gewertet)</t>
  </si>
  <si>
    <t>Bearbeitungszeit (Minuten):</t>
  </si>
  <si>
    <t>Maximale Punktzahl:</t>
  </si>
  <si>
    <t>erreichte Punktzahl:</t>
  </si>
  <si>
    <t>Note:</t>
  </si>
  <si>
    <t>Prozent:</t>
  </si>
  <si>
    <t>Note</t>
  </si>
  <si>
    <t>Prozentbereich</t>
  </si>
  <si>
    <t>1,0</t>
  </si>
  <si>
    <t>100 - 95</t>
  </si>
  <si>
    <t>1,3</t>
  </si>
  <si>
    <t>94 – 89</t>
  </si>
  <si>
    <t>1,7</t>
  </si>
  <si>
    <t>88 – 85</t>
  </si>
  <si>
    <t>2,0</t>
  </si>
  <si>
    <t>84 – 81</t>
  </si>
  <si>
    <t>2,3</t>
  </si>
  <si>
    <t>80 - 77</t>
  </si>
  <si>
    <t>2,7</t>
  </si>
  <si>
    <t>76 – 73</t>
  </si>
  <si>
    <t>3,0</t>
  </si>
  <si>
    <t>72 – 69</t>
  </si>
  <si>
    <t>3,3</t>
  </si>
  <si>
    <t>68 – 65</t>
  </si>
  <si>
    <t>3,7</t>
  </si>
  <si>
    <t>64 – 60</t>
  </si>
  <si>
    <t>4,0</t>
  </si>
  <si>
    <t>59 – 55</t>
  </si>
  <si>
    <t>4,3</t>
  </si>
  <si>
    <t>54 – 50</t>
  </si>
  <si>
    <t>nicht bestanden</t>
  </si>
  <si>
    <t>49 - 0</t>
  </si>
  <si>
    <t>Viel Erfolg!</t>
  </si>
  <si>
    <t>Ort, Datum</t>
  </si>
  <si>
    <t>Unterschrift (Teilnehmer/in)</t>
  </si>
  <si>
    <t>Hinweis: Kreuzen Sie bei jeder Frage genau eine Antwort mit 'X' an. Mehrfachankreuzungen werden als falsch gewertet. Es gilt das Alles-oder-Nichts-Prinzip. Jede richtige Antwort zählt 1 Punkt.</t>
  </si>
  <si>
    <t>Frage 1</t>
  </si>
  <si>
    <t>1 Punkt</t>
  </si>
  <si>
    <t>a)</t>
  </si>
  <si>
    <t>-4</t>
  </si>
  <si>
    <t>b)</t>
  </si>
  <si>
    <t>-5</t>
  </si>
  <si>
    <t>c)</t>
  </si>
  <si>
    <t>4</t>
  </si>
  <si>
    <t>d)</t>
  </si>
  <si>
    <t>4.9</t>
  </si>
  <si>
    <t>Frage 2</t>
  </si>
  <si>
    <t>7</t>
  </si>
  <si>
    <t>8</t>
  </si>
  <si>
    <t>7.1</t>
  </si>
  <si>
    <t>7.0</t>
  </si>
  <si>
    <t>Frage 3</t>
  </si>
  <si>
    <t>int</t>
  </si>
  <si>
    <t>str</t>
  </si>
  <si>
    <t>float</t>
  </si>
  <si>
    <t>NoneType</t>
  </si>
  <si>
    <t>Frage 4</t>
  </si>
  <si>
    <t>False</t>
  </si>
  <si>
    <t>None</t>
  </si>
  <si>
    <t>TypeError</t>
  </si>
  <si>
    <t>True</t>
  </si>
  <si>
    <t>Frage 5</t>
  </si>
  <si>
    <t>Welche Funktion des platform-Moduls gibt ein Tupel mit den Bestandteilen der Python-Versionsnummer zurück?</t>
  </si>
  <si>
    <t>python_version_tuple()</t>
  </si>
  <si>
    <t>python_version()</t>
  </si>
  <si>
    <t>version()</t>
  </si>
  <si>
    <t>system()</t>
  </si>
  <si>
    <t>Frage 6</t>
  </si>
  <si>
    <t>AttributeError</t>
  </si>
  <si>
    <t>Frage 7</t>
  </si>
  <si>
    <t>Exception</t>
  </si>
  <si>
    <t>oops</t>
  </si>
  <si>
    <t>ValueError</t>
  </si>
  <si>
    <t>Frage 8</t>
  </si>
  <si>
    <t>Error</t>
  </si>
  <si>
    <t>BaseException</t>
  </si>
  <si>
    <t>AppError</t>
  </si>
  <si>
    <t>Frage 9</t>
  </si>
  <si>
    <t>[1, 3, 4]</t>
  </si>
  <si>
    <t>[1, 4]</t>
  </si>
  <si>
    <t>[1, 2, 4]</t>
  </si>
  <si>
    <t>[1, 2, 3, 4]</t>
  </si>
  <si>
    <t>Frage 10</t>
  </si>
  <si>
    <t>not greater</t>
  </si>
  <si>
    <t>AssertionError</t>
  </si>
  <si>
    <t>2 &gt; 5</t>
  </si>
  <si>
    <t>Frage 11</t>
  </si>
  <si>
    <t>Welche der folgenden Klassen steht in der Exception-Hierarchie direkt über ValueError?</t>
  </si>
  <si>
    <t>ArithmeticError</t>
  </si>
  <si>
    <t>OSError</t>
  </si>
  <si>
    <t>Frage 12</t>
  </si>
  <si>
    <t>1</t>
  </si>
  <si>
    <t>90</t>
  </si>
  <si>
    <t>64</t>
  </si>
  <si>
    <t>25</t>
  </si>
  <si>
    <t>Frage 13</t>
  </si>
  <si>
    <t>racecar</t>
  </si>
  <si>
    <t>Frage 14</t>
  </si>
  <si>
    <t>5</t>
  </si>
  <si>
    <t>6</t>
  </si>
  <si>
    <t>Frage 15</t>
  </si>
  <si>
    <t>3</t>
  </si>
  <si>
    <t>Frage 16</t>
  </si>
  <si>
    <t>a b c</t>
  </si>
  <si>
    <t>['a','b','c']</t>
  </si>
  <si>
    <t>abc</t>
  </si>
  <si>
    <t>a-b-c</t>
  </si>
  <si>
    <t>Frage 17</t>
  </si>
  <si>
    <t>Frage 18</t>
  </si>
  <si>
    <t>apple</t>
  </si>
  <si>
    <t>cherry</t>
  </si>
  <si>
    <t>banana</t>
  </si>
  <si>
    <t>['apple','banana','cherry']</t>
  </si>
  <si>
    <t>Frage 19</t>
  </si>
  <si>
    <t>hel</t>
  </si>
  <si>
    <t>HEL</t>
  </si>
  <si>
    <t>Frage 20</t>
  </si>
  <si>
    <t>36</t>
  </si>
  <si>
    <t>12</t>
  </si>
  <si>
    <t>Frage 21</t>
  </si>
  <si>
    <t>B</t>
  </si>
  <si>
    <t>A</t>
  </si>
  <si>
    <t>C</t>
  </si>
  <si>
    <t>Frage 22</t>
  </si>
  <si>
    <t>Frage 23</t>
  </si>
  <si>
    <t>C+P</t>
  </si>
  <si>
    <t>P</t>
  </si>
  <si>
    <t>P+C</t>
  </si>
  <si>
    <t>Frage 24</t>
  </si>
  <si>
    <t>Frage 25</t>
  </si>
  <si>
    <t>2</t>
  </si>
  <si>
    <t>0</t>
  </si>
  <si>
    <t>Frage 26</t>
  </si>
  <si>
    <t>Frage 27</t>
  </si>
  <si>
    <t>R</t>
  </si>
  <si>
    <t>LR</t>
  </si>
  <si>
    <t>L</t>
  </si>
  <si>
    <t>Frage 28</t>
  </si>
  <si>
    <t>None Lab</t>
  </si>
  <si>
    <t>Rex None</t>
  </si>
  <si>
    <t>Rex Lab</t>
  </si>
  <si>
    <t>Frage 29</t>
  </si>
  <si>
    <t>Frage 30</t>
  </si>
  <si>
    <t>Counter</t>
  </si>
  <si>
    <t>Frage 31</t>
  </si>
  <si>
    <t>False 12</t>
  </si>
  <si>
    <t>True 0</t>
  </si>
  <si>
    <t>True 12</t>
  </si>
  <si>
    <t>False 0</t>
  </si>
  <si>
    <t>Frage 32</t>
  </si>
  <si>
    <t>10 10</t>
  </si>
  <si>
    <t>99 99</t>
  </si>
  <si>
    <t>10 99</t>
  </si>
  <si>
    <t>99 10</t>
  </si>
  <si>
    <t>Frage 33</t>
  </si>
  <si>
    <t>A C</t>
  </si>
  <si>
    <t>C A</t>
  </si>
  <si>
    <t>A A</t>
  </si>
  <si>
    <t>C C</t>
  </si>
  <si>
    <t>Frage 34</t>
  </si>
  <si>
    <t>Was gibt dieser Code aus?
print([x**2 for x in range(1, 5) if x % 2 != 0])</t>
  </si>
  <si>
    <t>[1, 4, 9, 16]</t>
  </si>
  <si>
    <t>[1, 9]</t>
  </si>
  <si>
    <t>[4, 16]</t>
  </si>
  <si>
    <t>[1, 3]</t>
  </si>
  <si>
    <t>Frage 35</t>
  </si>
  <si>
    <t>[1, 2, 2, 4]</t>
  </si>
  <si>
    <t>[[1, 2, 3], [2, 4, 6]]</t>
  </si>
  <si>
    <t>[[1, 2], [2, 4]]</t>
  </si>
  <si>
    <t>[[1, 4], [2, 6]]</t>
  </si>
  <si>
    <t>Frage 36</t>
  </si>
  <si>
    <t>['HI', 'HELLO', 'HEY', 'WORLD']</t>
  </si>
  <si>
    <t>['hello', 'world']</t>
  </si>
  <si>
    <t>['HELLO']</t>
  </si>
  <si>
    <t>['HELLO', 'WORLD']</t>
  </si>
  <si>
    <t>Frage 37</t>
  </si>
  <si>
    <t>30</t>
  </si>
  <si>
    <t>13</t>
  </si>
  <si>
    <t>Frage 38</t>
  </si>
  <si>
    <t>10</t>
  </si>
  <si>
    <t>Frage 39</t>
  </si>
  <si>
    <t>Mit welchem Modus öffnet open() eine Datei zum Schreiben und löscht dabei den bestehenden Inhalt?</t>
  </si>
  <si>
    <t>'r'</t>
  </si>
  <si>
    <t>'a'</t>
  </si>
  <si>
    <t>'w'</t>
  </si>
  <si>
    <t>'rb'</t>
  </si>
  <si>
    <t>Frage 40</t>
  </si>
  <si>
    <t>Welche Methode liest alle Zeilen einer Datei und gibt sie als Liste von Strings zurück?</t>
  </si>
  <si>
    <t>read()</t>
  </si>
  <si>
    <t>readline()</t>
  </si>
  <si>
    <t>read_all()</t>
  </si>
  <si>
    <t>readlines()</t>
  </si>
  <si>
    <r>
      <rPr>
        <b/>
        <sz val="10"/>
        <rFont val="Calibri"/>
        <family val="2"/>
      </rPr>
      <t>Was gibt dieser Code aus?</t>
    </r>
    <r>
      <rPr>
        <sz val="10"/>
        <rFont val="Calibri"/>
      </rPr>
      <t xml:space="preserve">
import math
print(math.trunc(-4.9))</t>
    </r>
  </si>
  <si>
    <r>
      <rPr>
        <b/>
        <sz val="10"/>
        <rFont val="Calibri"/>
        <family val="2"/>
      </rPr>
      <t>Was gibt dieser Code aus?</t>
    </r>
    <r>
      <rPr>
        <sz val="10"/>
        <rFont val="Calibri"/>
      </rPr>
      <t xml:space="preserve">
import math
print(math.ceil(7.1))</t>
    </r>
  </si>
  <si>
    <r>
      <rPr>
        <b/>
        <sz val="10"/>
        <rFont val="Calibri"/>
        <family val="2"/>
      </rPr>
      <t>Was gibt dieser Code aus?</t>
    </r>
    <r>
      <rPr>
        <sz val="10"/>
        <rFont val="Calibri"/>
      </rPr>
      <t xml:space="preserve">
import random
random.seed(0)
print(type(random.random()).__name__)</t>
    </r>
  </si>
  <si>
    <r>
      <rPr>
        <b/>
        <sz val="10"/>
        <rFont val="Calibri"/>
        <family val="2"/>
      </rPr>
      <t>Was gibt dieser Code aus?</t>
    </r>
    <r>
      <rPr>
        <sz val="10"/>
        <rFont val="Calibri"/>
      </rPr>
      <t xml:space="preserve">
import random
random.seed(1)
print(random.choice(['x', 'y', 'z']) in ['x', 'y', 'z'])</t>
    </r>
  </si>
  <si>
    <r>
      <rPr>
        <b/>
        <sz val="10"/>
        <rFont val="Calibri"/>
        <family val="2"/>
      </rPr>
      <t>Was gibt dieser Code aus?</t>
    </r>
    <r>
      <rPr>
        <sz val="10"/>
        <rFont val="Calibri"/>
      </rPr>
      <t xml:space="preserve">
import math
print('hypot' in dir(math))</t>
    </r>
  </si>
  <si>
    <r>
      <rPr>
        <b/>
        <sz val="10"/>
        <rFont val="Calibri"/>
        <family val="2"/>
      </rPr>
      <t>Was gibt dieser Code aus?</t>
    </r>
    <r>
      <rPr>
        <sz val="10"/>
        <rFont val="Calibri"/>
      </rPr>
      <t xml:space="preserve">
try:
    raise ValueError('oops')
except (TypeError, ValueError) as e:
    print(str(e))</t>
    </r>
  </si>
  <si>
    <r>
      <rPr>
        <b/>
        <sz val="10"/>
        <rFont val="Calibri"/>
        <family val="2"/>
      </rPr>
      <t>Was gibt dieser Code aus?</t>
    </r>
    <r>
      <rPr>
        <sz val="10"/>
        <rFont val="Calibri"/>
      </rPr>
      <t xml:space="preserve">
class AppError(Exception):
    pass
try:
    raise AppError('down')
except Exception as e:
    print(type(e).__name__)</t>
    </r>
  </si>
  <si>
    <r>
      <rPr>
        <b/>
        <sz val="10"/>
        <rFont val="Calibri"/>
        <family val="2"/>
      </rPr>
      <t>Was gibt dieser Code aus?</t>
    </r>
    <r>
      <rPr>
        <sz val="10"/>
        <rFont val="Calibri"/>
      </rPr>
      <t xml:space="preserve">
res = []
try:
    res.append(1)
except:
    res.append(2)
else:
    res.append(3)
finally:
    res.append(4)
print(res)</t>
    </r>
  </si>
  <si>
    <r>
      <rPr>
        <b/>
        <sz val="10"/>
        <rFont val="Calibri"/>
        <family val="2"/>
      </rPr>
      <t>Was gibt dieser Code aus?</t>
    </r>
    <r>
      <rPr>
        <sz val="10"/>
        <rFont val="Calibri"/>
      </rPr>
      <t xml:space="preserve">
try:
    assert 2 &gt; 5, 'not greater'
except AssertionError as e:
    print(e.args[0])</t>
    </r>
  </si>
  <si>
    <r>
      <rPr>
        <b/>
        <sz val="10"/>
        <rFont val="Calibri"/>
        <family val="2"/>
      </rPr>
      <t>Was gibt dieser Code aus?</t>
    </r>
    <r>
      <rPr>
        <sz val="10"/>
        <rFont val="Calibri"/>
      </rPr>
      <t xml:space="preserve">
print(ord('Z') - ord('A'))</t>
    </r>
  </si>
  <si>
    <r>
      <rPr>
        <b/>
        <sz val="10"/>
        <rFont val="Calibri"/>
        <family val="2"/>
      </rPr>
      <t>Was gibt dieser Code aus?</t>
    </r>
    <r>
      <rPr>
        <sz val="10"/>
        <rFont val="Calibri"/>
      </rPr>
      <t xml:space="preserve">
print('racecar'[::-1] == 'racecar')</t>
    </r>
  </si>
  <si>
    <r>
      <rPr>
        <b/>
        <sz val="10"/>
        <rFont val="Calibri"/>
        <family val="2"/>
      </rPr>
      <t>Was gibt dieser Code aus?</t>
    </r>
    <r>
      <rPr>
        <sz val="10"/>
        <rFont val="Calibri"/>
      </rPr>
      <t xml:space="preserve">
print('hello world'.index('world'))</t>
    </r>
  </si>
  <si>
    <r>
      <rPr>
        <b/>
        <sz val="10"/>
        <rFont val="Calibri"/>
        <family val="2"/>
      </rPr>
      <t>Was gibt dieser Code aus?</t>
    </r>
    <r>
      <rPr>
        <sz val="10"/>
        <rFont val="Calibri"/>
      </rPr>
      <t xml:space="preserve">
print('banana'.rfind('a'))</t>
    </r>
  </si>
  <si>
    <r>
      <rPr>
        <b/>
        <sz val="10"/>
        <rFont val="Calibri"/>
        <family val="2"/>
      </rPr>
      <t>Was gibt dieser Code aus?</t>
    </r>
    <r>
      <rPr>
        <sz val="10"/>
        <rFont val="Calibri"/>
      </rPr>
      <t xml:space="preserve">
print('-'.join(['a', 'b', 'c']))</t>
    </r>
  </si>
  <si>
    <r>
      <rPr>
        <b/>
        <sz val="10"/>
        <rFont val="Calibri"/>
        <family val="2"/>
      </rPr>
      <t>Was gibt dieser Code aus?</t>
    </r>
    <r>
      <rPr>
        <sz val="10"/>
        <rFont val="Calibri"/>
      </rPr>
      <t xml:space="preserve">
print('Python3'.isalpha())</t>
    </r>
  </si>
  <si>
    <r>
      <rPr>
        <b/>
        <sz val="10"/>
        <rFont val="Calibri"/>
        <family val="2"/>
      </rPr>
      <t>Was gibt dieser Code aus?</t>
    </r>
    <r>
      <rPr>
        <sz val="10"/>
        <rFont val="Calibri"/>
      </rPr>
      <t xml:space="preserve">
print(sorted(['cherry', 'apple', 'banana'])[2])</t>
    </r>
  </si>
  <si>
    <r>
      <rPr>
        <b/>
        <sz val="10"/>
        <rFont val="Calibri"/>
        <family val="2"/>
      </rPr>
      <t>Was gibt dieser Code aus?</t>
    </r>
    <r>
      <rPr>
        <sz val="10"/>
        <rFont val="Calibri"/>
      </rPr>
      <t xml:space="preserve">
print('  hello  '.strip().upper()[:3])</t>
    </r>
  </si>
  <si>
    <r>
      <rPr>
        <b/>
        <sz val="10"/>
        <rFont val="Calibri"/>
        <family val="2"/>
      </rPr>
      <t>Was gibt dieser Code aus?</t>
    </r>
    <r>
      <rPr>
        <sz val="10"/>
        <rFont val="Calibri"/>
      </rPr>
      <t xml:space="preserve">
class A:
    def __init__(self, x):
        self.x = x
    def double(self):
        return self.x * 2
print(A(6).double())</t>
    </r>
  </si>
  <si>
    <r>
      <rPr>
        <b/>
        <sz val="10"/>
        <rFont val="Calibri"/>
        <family val="2"/>
      </rPr>
      <t>Was gibt dieser Code aus?</t>
    </r>
    <r>
      <rPr>
        <sz val="10"/>
        <rFont val="Calibri"/>
      </rPr>
      <t xml:space="preserve">
class A:
    tag = 'A'
class B(A):
    tag = 'B'
class C(B):
    pass
print(C.tag)</t>
    </r>
  </si>
  <si>
    <r>
      <rPr>
        <b/>
        <sz val="10"/>
        <rFont val="Calibri"/>
        <family val="2"/>
      </rPr>
      <t>Was gibt dieser Code aus?</t>
    </r>
    <r>
      <rPr>
        <sz val="10"/>
        <rFont val="Calibri"/>
      </rPr>
      <t xml:space="preserve">
class N:
    def __init__(self, v):
        self.__val = v
obj = N(7)
print(hasattr(obj, '_N__val'))</t>
    </r>
  </si>
  <si>
    <r>
      <rPr>
        <b/>
        <sz val="10"/>
        <rFont val="Calibri"/>
        <family val="2"/>
      </rPr>
      <t>Was gibt dieser Code aus?</t>
    </r>
    <r>
      <rPr>
        <sz val="10"/>
        <rFont val="Calibri"/>
      </rPr>
      <t xml:space="preserve">
class P:
    def run(self):
        return 'P'
class C(P):
    def run(self):
        return super().run() + '+C'
print(C().run())</t>
    </r>
  </si>
  <si>
    <r>
      <rPr>
        <b/>
        <sz val="10"/>
        <rFont val="Calibri"/>
        <family val="2"/>
      </rPr>
      <t>Was gibt dieser Code aus?</t>
    </r>
    <r>
      <rPr>
        <sz val="10"/>
        <rFont val="Calibri"/>
      </rPr>
      <t xml:space="preserve">
class A:
    pass
class B(A):
    pass
class C(A):
    pass
print(issubclass(B, C))</t>
    </r>
  </si>
  <si>
    <r>
      <rPr>
        <b/>
        <sz val="10"/>
        <rFont val="Calibri"/>
        <family val="2"/>
      </rPr>
      <t>Was gibt dieser Code aus?</t>
    </r>
    <r>
      <rPr>
        <sz val="10"/>
        <rFont val="Calibri"/>
      </rPr>
      <t xml:space="preserve">
class T:
    items = []
    def add(self, x):
        T.items.append(x)
t1 = T()
t2 = T()
t1.add(1)
t2.add(2)
print(len(T.items))</t>
    </r>
  </si>
  <si>
    <r>
      <rPr>
        <b/>
        <sz val="10"/>
        <rFont val="Calibri"/>
        <family val="2"/>
      </rPr>
      <t>Was gibt dieser Code aus?</t>
    </r>
    <r>
      <rPr>
        <sz val="10"/>
        <rFont val="Calibri"/>
      </rPr>
      <t xml:space="preserve">
class X:
    def __init__(self):
        self.a = 1
        self.b = 2
        self.c = 3
print('a' in X().__dict__)</t>
    </r>
  </si>
  <si>
    <r>
      <rPr>
        <b/>
        <sz val="10"/>
        <rFont val="Calibri"/>
        <family val="2"/>
      </rPr>
      <t xml:space="preserve">Was gibt dieser Code aus? </t>
    </r>
    <r>
      <rPr>
        <sz val="10"/>
        <rFont val="Calibri"/>
      </rPr>
      <t xml:space="preserve">
class L:
    def go(self): return 'L'
class R:
    def go(self): return 'R'
class D(L, R):
    pass
print(D().go())</t>
    </r>
  </si>
  <si>
    <r>
      <rPr>
        <b/>
        <sz val="10"/>
        <rFont val="Calibri"/>
        <family val="2"/>
      </rPr>
      <t>Was gibt dieser Code aus?</t>
    </r>
    <r>
      <rPr>
        <sz val="10"/>
        <rFont val="Calibri"/>
      </rPr>
      <t xml:space="preserve">
class Animal:
    def __init__(self, n):
        self.name = n
class Dog(Animal):
    def __init__(self, n, b):
        super().__init__(n)
        self.breed = b
d = Dog('Rex', 'Lab')
print(d.name, d.breed)</t>
    </r>
  </si>
  <si>
    <r>
      <rPr>
        <b/>
        <sz val="10"/>
        <rFont val="Calibri"/>
        <family val="2"/>
      </rPr>
      <t>Was gibt dieser Code aus?</t>
    </r>
    <r>
      <rPr>
        <sz val="10"/>
        <rFont val="Calibri"/>
      </rPr>
      <t xml:space="preserve">
class A:
    pass
class B(A):
    pass
print(B.__bases__[0] is A)</t>
    </r>
  </si>
  <si>
    <r>
      <rPr>
        <b/>
        <sz val="10"/>
        <rFont val="Calibri"/>
        <family val="2"/>
      </rPr>
      <t>Was gibt dieser Code aus?</t>
    </r>
    <r>
      <rPr>
        <sz val="10"/>
        <rFont val="Calibri"/>
      </rPr>
      <t xml:space="preserve">
class Counter:
    _n = 0
    def __init__(self):
        Counter._n += 1
    def __str__(self):
        return str(Counter._n)
print(str(Counter()))</t>
    </r>
  </si>
  <si>
    <r>
      <rPr>
        <b/>
        <sz val="10"/>
        <rFont val="Calibri"/>
        <family val="2"/>
      </rPr>
      <t>Was gibt dieser Code aus?</t>
    </r>
    <r>
      <rPr>
        <sz val="10"/>
        <rFont val="Calibri"/>
      </rPr>
      <t xml:space="preserve">
class Shape:
    def area(self): return 0
class Rect(Shape):
    def __init__(self, w, h):
        self.w = w
        self.h = h
    def area(self):
        return self.w * self.h
r = Rect(3, 4)
print(isinstance(r, Shape), r.area())</t>
    </r>
  </si>
  <si>
    <r>
      <rPr>
        <b/>
        <sz val="10"/>
        <rFont val="Calibri"/>
        <family val="2"/>
      </rPr>
      <t>Was gibt dieser Code aus?</t>
    </r>
    <r>
      <rPr>
        <sz val="10"/>
        <rFont val="Calibri"/>
      </rPr>
      <t xml:space="preserve">
class Foo:
    x = 10
f = Foo()
f.x = 99
print(f.x, Foo.x)</t>
    </r>
  </si>
  <si>
    <r>
      <rPr>
        <b/>
        <sz val="10"/>
        <rFont val="Calibri"/>
        <family val="2"/>
      </rPr>
      <t>Was gibt dieser Code aus?</t>
    </r>
    <r>
      <rPr>
        <sz val="10"/>
        <rFont val="Calibri"/>
      </rPr>
      <t xml:space="preserve">
class A:
    def info(self): return 'A'
class B(A):
    pass
class C(B):
    def info(self): return 'C'
print(B().info(), C().info())</t>
    </r>
  </si>
  <si>
    <r>
      <rPr>
        <b/>
        <sz val="10"/>
        <rFont val="Calibri"/>
        <family val="2"/>
      </rPr>
      <t>Was gibt dieser Code aus?</t>
    </r>
    <r>
      <rPr>
        <sz val="10"/>
        <rFont val="Calibri"/>
      </rPr>
      <t xml:space="preserve">
print([[i * j for j in range(1, 3)] for i in range(1, 3)])</t>
    </r>
  </si>
  <si>
    <r>
      <rPr>
        <b/>
        <sz val="10"/>
        <rFont val="Calibri"/>
        <family val="2"/>
      </rPr>
      <t>Was gibt dieser Code aus?</t>
    </r>
    <r>
      <rPr>
        <sz val="10"/>
        <rFont val="Calibri"/>
      </rPr>
      <t xml:space="preserve">
print(list(map(lambda s: s.upper(),
    filter(lambda s: len(s) &gt; 3, ['hi', 'hello', 'hey', 'world']))))</t>
    </r>
  </si>
  <si>
    <r>
      <rPr>
        <b/>
        <sz val="10"/>
        <rFont val="Calibri"/>
        <family val="2"/>
      </rPr>
      <t>Was gibt dieser Code aus?</t>
    </r>
    <r>
      <rPr>
        <sz val="10"/>
        <rFont val="Calibri"/>
      </rPr>
      <t xml:space="preserve">
f = lambda a, b, fn: fn(a, b)
print(f(10, 3, lambda x, y: x - y))</t>
    </r>
  </si>
  <si>
    <r>
      <rPr>
        <b/>
        <sz val="10"/>
        <rFont val="Calibri"/>
        <family val="2"/>
      </rPr>
      <t>Was gibt dieser Code aus?</t>
    </r>
    <r>
      <rPr>
        <sz val="10"/>
        <rFont val="Calibri"/>
      </rPr>
      <t xml:space="preserve">
def make(n):
    def fn(x):
        return x ** n
    return fn
sq = make(2)
print(sq(5))</t>
    </r>
  </si>
  <si>
    <t>x</t>
  </si>
  <si>
    <t>/ 13.05.2026</t>
  </si>
  <si>
    <t>leh</t>
  </si>
  <si>
    <t>HELLO</t>
  </si>
  <si>
    <t>Modul:</t>
  </si>
  <si>
    <t>Name, Vorname (Dozent/in):</t>
  </si>
  <si>
    <t>Name, Vorname (Teilnehmer/in):</t>
  </si>
  <si>
    <t>Unterschrift (Dozent/in)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</si>
</sst>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name val="Calibri"/>
    </font>
    <font>
      <sz val="11"/>
      <name val="Calibri"/>
    </font>
    <font>
      <b/>
      <sz val="9"/>
      <name val="Calibri"/>
    </font>
    <font>
      <i/>
      <sz val="9"/>
      <name val="Calibri"/>
    </font>
    <font>
      <sz val="10"/>
      <name val="Calibri"/>
    </font>
    <font>
      <b/>
      <sz val="10"/>
      <name val="Calibri"/>
      <family val="2"/>
    </font>
    <font>
      <sz val="10"/>
      <name val="Calibri"/>
      <family val="2"/>
    </font>
    <font>
      <b/>
      <sz val="11"/>
      <color theme="1"/>
      <name val="Calibri"/>
      <family val="2"/>
      <scheme val="minor"/>
    </font>
    <font>
      <b/>
      <sz val="11"/>
      <color theme="0"/>
      <name val="Calibri"/>
      <family val="2"/>
    </font>
    <font>
      <b/>
      <sz val="11"/>
      <name val="Calibri"/>
      <family val="2"/>
    </font>
    <font>
      <sz val="11"/>
      <name val="Calibri"/>
      <family val="2"/>
    </font>
    <font>
      <b/>
      <sz val="10"/>
      <color rgb="FF000000"/>
      <name val="Verdana-Bold"/>
    </font>
    <font>
      <sz val="10"/>
      <color theme="1"/>
      <name val="Calibri"/>
      <family val="2"/>
      <scheme val="minor"/>
    </font>
    <font>
      <sz val="11"/>
      <color rgb="FF000000"/>
      <name val="Verdana"/>
      <family val="2"/>
    </font>
    <font>
      <sz val="14"/>
      <color theme="1"/>
      <name val="Amiri"/>
    </font>
  </fonts>
  <fills count="5">
    <fill>
      <patternFill patternType="none"/>
    </fill>
    <fill>
      <patternFill patternType="gray125"/>
    </fill>
    <fill>
      <patternFill patternType="solid">
        <fgColor rgb="FFFFF2CC"/>
      </patternFill>
    </fill>
    <fill>
      <patternFill patternType="solid">
        <fgColor theme="0" tint="-4.9989318521683403E-2"/>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style="medium">
        <color indexed="64"/>
      </top>
      <bottom/>
      <diagonal/>
    </border>
    <border>
      <left/>
      <right/>
      <top style="thin">
        <color indexed="64"/>
      </top>
      <bottom/>
      <diagonal/>
    </border>
  </borders>
  <cellStyleXfs count="1">
    <xf numFmtId="0" fontId="0" fillId="0" borderId="0"/>
  </cellStyleXfs>
  <cellXfs count="4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pplyProtection="1">
      <alignment horizontal="left" vertical="center"/>
      <protection hidden="1"/>
    </xf>
    <xf numFmtId="0" fontId="1" fillId="0" borderId="0" xfId="0" applyFont="1" applyAlignment="1">
      <alignment horizontal="right" vertical="center"/>
    </xf>
    <xf numFmtId="0" fontId="1" fillId="2" borderId="0" xfId="0" applyFont="1" applyFill="1" applyAlignment="1" applyProtection="1">
      <alignment horizontal="center" vertical="center"/>
      <protection locked="0"/>
    </xf>
    <xf numFmtId="0" fontId="0" fillId="0" borderId="0" xfId="0" applyProtection="1">
      <protection hidden="1"/>
    </xf>
    <xf numFmtId="0" fontId="2" fillId="0" borderId="0" xfId="0" applyFont="1" applyAlignment="1">
      <alignment horizontal="center" vertical="center"/>
    </xf>
    <xf numFmtId="0" fontId="0" fillId="0" borderId="0" xfId="0"/>
    <xf numFmtId="0" fontId="2" fillId="0" borderId="0" xfId="0" applyFont="1" applyAlignment="1">
      <alignment horizontal="left" vertical="center" wrapText="1"/>
    </xf>
    <xf numFmtId="0" fontId="1" fillId="0" borderId="0" xfId="0" applyFont="1" applyAlignment="1">
      <alignment horizontal="left" vertical="center"/>
    </xf>
    <xf numFmtId="0" fontId="7" fillId="0" borderId="0" xfId="0" applyFont="1" applyAlignment="1">
      <alignment horizontal="left" vertical="center" wrapText="1"/>
    </xf>
    <xf numFmtId="0" fontId="1" fillId="0" borderId="0" xfId="0" applyFont="1" applyAlignment="1">
      <alignment horizontal="center" vertical="center"/>
    </xf>
    <xf numFmtId="0" fontId="5" fillId="0" borderId="0" xfId="0" applyFont="1" applyAlignment="1">
      <alignment horizontal="left" vertical="center" wrapText="1"/>
    </xf>
    <xf numFmtId="0" fontId="2" fillId="0" borderId="0" xfId="0" applyFont="1" applyAlignment="1" applyProtection="1">
      <alignment horizontal="center" vertical="center"/>
      <protection locked="0"/>
    </xf>
    <xf numFmtId="0" fontId="3" fillId="0" borderId="0" xfId="0" applyFont="1" applyAlignment="1">
      <alignment horizontal="left" vertical="center"/>
    </xf>
    <xf numFmtId="0" fontId="4" fillId="0" borderId="0" xfId="0" applyFont="1" applyAlignment="1">
      <alignment horizontal="left" vertical="center" wrapText="1"/>
    </xf>
    <xf numFmtId="0" fontId="2" fillId="0" borderId="0" xfId="0" applyFont="1" applyAlignment="1">
      <alignment horizontal="left" vertical="center"/>
    </xf>
    <xf numFmtId="0" fontId="9" fillId="0" borderId="0" xfId="0" applyFont="1" applyAlignment="1" applyProtection="1">
      <alignment horizontal="left" vertical="center"/>
      <protection hidden="1"/>
    </xf>
    <xf numFmtId="0" fontId="0" fillId="0" borderId="1" xfId="0" applyBorder="1" applyAlignment="1">
      <alignment horizontal="center"/>
    </xf>
    <xf numFmtId="0" fontId="0" fillId="3" borderId="1" xfId="0" applyFill="1" applyBorder="1" applyAlignment="1"/>
    <xf numFmtId="0" fontId="2" fillId="3" borderId="0" xfId="0" applyFont="1" applyFill="1" applyAlignment="1" applyProtection="1">
      <alignment horizontal="center" vertical="center"/>
      <protection locked="0"/>
    </xf>
    <xf numFmtId="0" fontId="0" fillId="3" borderId="0" xfId="0" applyFill="1" applyProtection="1">
      <protection locked="0"/>
    </xf>
    <xf numFmtId="0" fontId="10" fillId="0" borderId="0" xfId="0" applyFont="1" applyAlignment="1">
      <alignment horizontal="left" vertical="center"/>
    </xf>
    <xf numFmtId="0" fontId="8" fillId="0" borderId="0" xfId="0" applyFont="1" applyAlignment="1">
      <alignment horizontal="left"/>
    </xf>
    <xf numFmtId="0" fontId="11" fillId="0" borderId="0" xfId="0" applyFont="1" applyAlignment="1">
      <alignment horizontal="left" vertical="center" wrapText="1"/>
    </xf>
    <xf numFmtId="0" fontId="10" fillId="2" borderId="0" xfId="0" applyFont="1" applyFill="1" applyAlignment="1" applyProtection="1">
      <alignment horizontal="center" vertical="center"/>
      <protection locked="0"/>
    </xf>
    <xf numFmtId="0" fontId="11" fillId="0" borderId="0" xfId="0" applyFont="1" applyAlignment="1" applyProtection="1">
      <alignment horizontal="left" vertical="center"/>
      <protection hidden="1"/>
    </xf>
    <xf numFmtId="0" fontId="0" fillId="4" borderId="2" xfId="0" applyFill="1" applyBorder="1" applyAlignment="1">
      <alignment horizontal="center" vertical="center"/>
    </xf>
    <xf numFmtId="0" fontId="0" fillId="4" borderId="2" xfId="0" applyFill="1" applyBorder="1"/>
    <xf numFmtId="0" fontId="0" fillId="4" borderId="2" xfId="0" applyFill="1" applyBorder="1" applyAlignment="1">
      <alignment horizontal="center"/>
    </xf>
    <xf numFmtId="0" fontId="0" fillId="4" borderId="0" xfId="0" applyFill="1" applyAlignment="1">
      <alignment horizontal="center" vertical="center"/>
    </xf>
    <xf numFmtId="0" fontId="0" fillId="4" borderId="0" xfId="0" applyFill="1"/>
    <xf numFmtId="0" fontId="0" fillId="4" borderId="0" xfId="0" applyFill="1" applyAlignment="1">
      <alignment horizontal="center"/>
    </xf>
    <xf numFmtId="0" fontId="8" fillId="4" borderId="0" xfId="0" applyFont="1" applyFill="1"/>
    <xf numFmtId="0" fontId="12" fillId="4" borderId="0" xfId="0" applyFont="1" applyFill="1" applyAlignment="1">
      <alignment horizontal="left"/>
    </xf>
    <xf numFmtId="0" fontId="0" fillId="4" borderId="0" xfId="0" applyFill="1" applyAlignment="1">
      <alignment horizontal="left"/>
    </xf>
    <xf numFmtId="0" fontId="0" fillId="4" borderId="0" xfId="0" applyFill="1" applyAlignment="1">
      <alignment horizontal="left"/>
    </xf>
    <xf numFmtId="0" fontId="0" fillId="3" borderId="0" xfId="0" applyFill="1" applyAlignment="1" applyProtection="1">
      <alignment horizontal="left"/>
      <protection locked="0"/>
    </xf>
    <xf numFmtId="0" fontId="8" fillId="4" borderId="0" xfId="0" applyFont="1" applyFill="1" applyAlignment="1">
      <alignment horizontal="left"/>
    </xf>
    <xf numFmtId="0" fontId="14" fillId="4" borderId="0" xfId="0" applyFont="1" applyFill="1" applyAlignment="1">
      <alignment horizontal="center" vertical="center" wrapText="1"/>
    </xf>
    <xf numFmtId="0" fontId="0" fillId="3" borderId="1" xfId="0" applyFill="1" applyBorder="1" applyAlignment="1" applyProtection="1">
      <alignment horizontal="center"/>
      <protection locked="0"/>
    </xf>
    <xf numFmtId="0" fontId="0" fillId="4" borderId="3" xfId="0" applyFill="1" applyBorder="1" applyAlignment="1">
      <alignment horizontal="center"/>
    </xf>
    <xf numFmtId="0" fontId="0" fillId="3" borderId="1" xfId="0" applyFill="1" applyBorder="1" applyAlignment="1">
      <alignment horizontal="center"/>
    </xf>
    <xf numFmtId="0" fontId="15" fillId="0" borderId="0" xfId="0" applyFont="1" applyBorder="1" applyAlignment="1">
      <alignment horizontal="center" vertical="top"/>
    </xf>
    <xf numFmtId="0" fontId="15" fillId="0" borderId="1" xfId="0" applyFont="1" applyBorder="1" applyAlignment="1">
      <alignment horizontal="center" vertical="top"/>
    </xf>
    <xf numFmtId="0" fontId="0" fillId="4" borderId="0" xfId="0" applyFill="1" applyAlignment="1"/>
    <xf numFmtId="0" fontId="13" fillId="3" borderId="0" xfId="0" applyFont="1" applyFill="1" applyAlignment="1" applyProtection="1">
      <alignment horizontal="left" wrapText="1"/>
      <protection locked="0"/>
    </xf>
    <xf numFmtId="0" fontId="10" fillId="0" borderId="0" xfId="0" applyFont="1" applyAlignment="1" applyProtection="1">
      <alignment horizontal="left" vertical="center"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13</xdr:col>
      <xdr:colOff>249443</xdr:colOff>
      <xdr:row>3</xdr:row>
      <xdr:rowOff>148590</xdr:rowOff>
    </xdr:to>
    <xdr:pic>
      <xdr:nvPicPr>
        <xdr:cNvPr id="2" name="Grafik 1">
          <a:extLst>
            <a:ext uri="{FF2B5EF4-FFF2-40B4-BE49-F238E27FC236}">
              <a16:creationId xmlns:a16="http://schemas.microsoft.com/office/drawing/2014/main" id="{5261E814-2A48-4524-AE54-2C247D706CC5}"/>
            </a:ext>
          </a:extLst>
        </xdr:cNvPr>
        <xdr:cNvPicPr>
          <a:picLocks noChangeAspect="1"/>
        </xdr:cNvPicPr>
      </xdr:nvPicPr>
      <xdr:blipFill>
        <a:blip xmlns:r="http://schemas.openxmlformats.org/officeDocument/2006/relationships" r:embed="rId1"/>
        <a:stretch>
          <a:fillRect/>
        </a:stretch>
      </xdr:blipFill>
      <xdr:spPr>
        <a:xfrm>
          <a:off x="502024" y="0"/>
          <a:ext cx="5861348" cy="7133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9"/>
  <sheetViews>
    <sheetView showGridLines="0" tabSelected="1" zoomScaleNormal="100" workbookViewId="0">
      <selection activeCell="M181" sqref="M181"/>
    </sheetView>
  </sheetViews>
  <sheetFormatPr baseColWidth="10" defaultColWidth="8.88671875" defaultRowHeight="14.4"/>
  <cols>
    <col min="1" max="1" width="2.109375" customWidth="1"/>
    <col min="2" max="3" width="2.6640625" customWidth="1"/>
    <col min="4" max="4" width="18.77734375" customWidth="1"/>
    <col min="5" max="6" width="7" customWidth="1"/>
    <col min="7" max="7" width="11.5546875" customWidth="1"/>
    <col min="8" max="10" width="7" customWidth="1"/>
    <col min="11" max="11" width="7.33203125" customWidth="1"/>
    <col min="12" max="12" width="11.44140625" hidden="1" customWidth="1"/>
  </cols>
  <sheetData>
    <row r="1" spans="4:11" ht="15" customHeight="1">
      <c r="D1" s="8"/>
      <c r="E1" s="8"/>
      <c r="F1" s="8"/>
      <c r="G1" s="8"/>
      <c r="H1" s="8"/>
      <c r="I1" s="8"/>
      <c r="J1" s="8"/>
      <c r="K1" s="8"/>
    </row>
    <row r="2" spans="4:11" ht="15" customHeight="1">
      <c r="D2" s="8"/>
      <c r="E2" s="8"/>
      <c r="F2" s="8"/>
      <c r="G2" s="8"/>
      <c r="H2" s="8"/>
      <c r="I2" s="8"/>
      <c r="J2" s="8"/>
      <c r="K2" s="8"/>
    </row>
    <row r="3" spans="4:11" ht="15" customHeight="1">
      <c r="D3" s="8"/>
      <c r="E3" s="8"/>
      <c r="F3" s="8"/>
      <c r="G3" s="8"/>
      <c r="H3" s="8"/>
      <c r="I3" s="8"/>
      <c r="J3" s="8"/>
      <c r="K3" s="8"/>
    </row>
    <row r="4" spans="4:11" ht="15" customHeight="1">
      <c r="D4" s="8"/>
      <c r="E4" s="8"/>
      <c r="F4" s="8"/>
      <c r="G4" s="8"/>
      <c r="H4" s="8"/>
      <c r="I4" s="8"/>
      <c r="J4" s="8"/>
      <c r="K4" s="8"/>
    </row>
    <row r="5" spans="4:11" ht="15" customHeight="1">
      <c r="D5" s="8"/>
      <c r="E5" s="8"/>
      <c r="F5" s="8"/>
      <c r="G5" s="8"/>
      <c r="H5" s="8"/>
      <c r="I5" s="8"/>
      <c r="J5" s="8"/>
      <c r="K5" s="8"/>
    </row>
    <row r="7" spans="4:11" ht="15" customHeight="1">
      <c r="D7" s="1" t="s">
        <v>0</v>
      </c>
    </row>
    <row r="9" spans="4:11" ht="15" customHeight="1">
      <c r="D9" s="2" t="s">
        <v>1</v>
      </c>
      <c r="E9" s="48" t="s">
        <v>2</v>
      </c>
      <c r="F9" s="48"/>
      <c r="G9" s="48"/>
      <c r="H9" s="48"/>
      <c r="I9" s="48"/>
      <c r="J9" s="48"/>
      <c r="K9" s="48"/>
    </row>
    <row r="10" spans="4:11">
      <c r="E10" s="48"/>
      <c r="F10" s="48"/>
      <c r="G10" s="48"/>
      <c r="H10" s="48"/>
      <c r="I10" s="48"/>
      <c r="J10" s="48"/>
      <c r="K10" s="48"/>
    </row>
    <row r="11" spans="4:11" ht="15" customHeight="1">
      <c r="D11" s="7" t="s">
        <v>3</v>
      </c>
      <c r="E11" s="8"/>
      <c r="F11" s="23" t="s">
        <v>4</v>
      </c>
      <c r="G11" s="24"/>
      <c r="H11" s="24"/>
      <c r="I11" s="24"/>
      <c r="J11" s="24"/>
      <c r="K11" s="24"/>
    </row>
    <row r="13" spans="4:11" ht="15" customHeight="1">
      <c r="D13" s="7" t="s">
        <v>5</v>
      </c>
      <c r="E13" s="8"/>
      <c r="F13" s="8"/>
      <c r="G13" s="21"/>
      <c r="H13" s="22"/>
      <c r="I13" s="22"/>
      <c r="J13" s="22"/>
      <c r="K13" s="22"/>
    </row>
    <row r="15" spans="4:11" ht="15" customHeight="1">
      <c r="D15" s="10" t="s">
        <v>6</v>
      </c>
      <c r="E15" s="8"/>
      <c r="F15" s="8"/>
    </row>
    <row r="17" spans="4:12" ht="15" customHeight="1">
      <c r="D17" s="17" t="s">
        <v>7</v>
      </c>
      <c r="E17" s="8"/>
      <c r="F17" s="8"/>
    </row>
    <row r="18" spans="4:12" ht="15" customHeight="1">
      <c r="D18" s="15" t="s">
        <v>8</v>
      </c>
      <c r="E18" s="8"/>
      <c r="F18" s="8"/>
      <c r="G18" s="8"/>
      <c r="H18" s="8"/>
      <c r="I18" s="8"/>
      <c r="J18" s="8"/>
      <c r="K18" s="8"/>
    </row>
    <row r="19" spans="4:12" ht="7.95" customHeight="1"/>
    <row r="20" spans="4:12" ht="15" customHeight="1">
      <c r="D20" s="10" t="s">
        <v>9</v>
      </c>
      <c r="E20" s="8"/>
      <c r="F20" s="8"/>
      <c r="G20" s="2">
        <v>90</v>
      </c>
    </row>
    <row r="21" spans="4:12" ht="7.95" customHeight="1"/>
    <row r="22" spans="4:12" ht="15" customHeight="1">
      <c r="D22" s="10" t="s">
        <v>10</v>
      </c>
      <c r="E22" s="8"/>
      <c r="F22" s="8"/>
      <c r="G22" s="1">
        <v>40</v>
      </c>
    </row>
    <row r="23" spans="4:12" ht="7.95" customHeight="1"/>
    <row r="24" spans="4:12" ht="15" customHeight="1">
      <c r="D24" s="10" t="s">
        <v>11</v>
      </c>
      <c r="E24" s="8"/>
      <c r="F24" s="8"/>
      <c r="G24" s="27">
        <f>L24</f>
        <v>40</v>
      </c>
      <c r="L24" s="3">
        <f>((UPPER(B57)="X")*((UPPER(B57)="X")+(UPPER(B58)="X")+(UPPER(B59)="X")+(UPPER(B60)="X")=1))+((UPPER(B65)="X")*((UPPER(B64)="X")+(UPPER(B65)="X")+(UPPER(B66)="X")+(UPPER(B67)="X")=1))+((UPPER(B73)="X")*((UPPER(B71)="X")+(UPPER(B72)="X")+(UPPER(B73)="X")+(UPPER(B74)="X")=1))+((UPPER(B81)="X")*((UPPER(B78)="X")+(UPPER(B79)="X")+(UPPER(B80)="X")+(UPPER(B81)="X")=1))+((UPPER(B85)="X")*((UPPER(B85)="X")+(UPPER(B86)="X")+(UPPER(B87)="X")+(UPPER(B88)="X")=1))+((UPPER(B93)="X")*((UPPER(B92)="X")+(UPPER(B93)="X")+(UPPER(B94)="X")+(UPPER(B95)="X")=1))+((UPPER(B101)="X")*((UPPER(B99)="X")+(UPPER(B100)="X")+(UPPER(B101)="X")+(UPPER(B102)="X")=1))+((UPPER(B109)="X")*((UPPER(B106)="X")+(UPPER(B107)="X")+(UPPER(B108)="X")+(UPPER(B109)="X")=1))+((UPPER(B113)="X")*((UPPER(B113)="X")+(UPPER(B114)="X")+(UPPER(B115)="X")+(UPPER(B116)="X")=1))+((UPPER(B121)="X")*((UPPER(B120)="X")+(UPPER(B121)="X")+(UPPER(B122)="X")+(UPPER(B123)="X")=1))+((UPPER(B129)="X")*((UPPER(B127)="X")+(UPPER(B128)="X")+(UPPER(B129)="X")+(UPPER(B130)="X")=1))+((UPPER(B137)="X")*((UPPER(B134)="X")+(UPPER(B135)="X")+(UPPER(B136)="X")+(UPPER(B137)="X")=1))+((UPPER(B141)="X")*((UPPER(B141)="X")+(UPPER(B142)="X")+(UPPER(B143)="X")+(UPPER(B144)="X")=1))+((UPPER(B149)="X")*((UPPER(B148)="X")+(UPPER(B149)="X")+(UPPER(B150)="X")+(UPPER(B151)="X")=1))+((UPPER(B157)="X")*((UPPER(B155)="X")+(UPPER(B156)="X")+(UPPER(B157)="X")+(UPPER(B158)="X")=1))+((UPPER(B165)="X")*((UPPER(B162)="X")+(UPPER(B163)="X")+(UPPER(B164)="X")+(UPPER(B165)="X")=1))+((UPPER(B169)="X")*((UPPER(B169)="X")+(UPPER(B170)="X")+(UPPER(B171)="X")+(UPPER(B172)="X")=1))+((UPPER(B177)="X")*((UPPER(B176)="X")+(UPPER(B177)="X")+(UPPER(B178)="X")+(UPPER(B179)="X")=1))+((UPPER(B185)="X")*((UPPER(B183)="X")+(UPPER(B184)="X")+(UPPER(B185)="X")+(UPPER(B186)="X")=1))+((UPPER(B193)="X")*((UPPER(B190)="X")+(UPPER(B191)="X")+(UPPER(B192)="X")+(UPPER(B193)="X")=1))+((UPPER(B197)="X")*((UPPER(B197)="X")+(UPPER(B198)="X")+(UPPER(B199)="X")+(UPPER(B200)="X")=1))+((UPPER(B205)="X")*((UPPER(B204)="X")+(UPPER(B205)="X")+(UPPER(B206)="X")+(UPPER(B207)="X")=1))+((UPPER(B213)="X")*((UPPER(B211)="X")+(UPPER(B212)="X")+(UPPER(B213)="X")+(UPPER(B214)="X")=1))+((UPPER(B221)="X")*((UPPER(B218)="X")+(UPPER(B219)="X")+(UPPER(B220)="X")+(UPPER(B221)="X")=1))+((UPPER(B225)="X")*((UPPER(B225)="X")+(UPPER(B226)="X")+(UPPER(B227)="X")+(UPPER(B228)="X")=1))+((UPPER(B233)="X")*((UPPER(B232)="X")+(UPPER(B233)="X")+(UPPER(B234)="X")+(UPPER(B235)="X")=1))+((UPPER(B241)="X")*((UPPER(B239)="X")+(UPPER(B240)="X")+(UPPER(B241)="X")+(UPPER(B242)="X")=1))+((UPPER(B249)="X")*((UPPER(B246)="X")+(UPPER(B247)="X")+(UPPER(B248)="X")+(UPPER(B249)="X")=1))+((UPPER(B253)="X")*((UPPER(B253)="X")+(UPPER(B254)="X")+(UPPER(B255)="X")+(UPPER(B256)="X")=1))+((UPPER(B261)="X")*((UPPER(B260)="X")+(UPPER(B261)="X")+(UPPER(B262)="X")+(UPPER(B263)="X")=1))+((UPPER(B269)="X")*((UPPER(B267)="X")+(UPPER(B268)="X")+(UPPER(B269)="X")+(UPPER(B270)="X")=1))+((UPPER(B277)="X")*((UPPER(B274)="X")+(UPPER(B275)="X")+(UPPER(B276)="X")+(UPPER(B277)="X")=1))+((UPPER(B281)="X")*((UPPER(B281)="X")+(UPPER(B282)="X")+(UPPER(B283)="X")+(UPPER(B284)="X")=1))+((UPPER(B289)="X")*((UPPER(B288)="X")+(UPPER(B289)="X")+(UPPER(B290)="X")+(UPPER(B291)="X")=1))+((UPPER(B297)="X")*((UPPER(B295)="X")+(UPPER(B296)="X")+(UPPER(B297)="X")+(UPPER(B298)="X")=1))+((UPPER(B305)="X")*((UPPER(B302)="X")+(UPPER(B303)="X")+(UPPER(B304)="X")+(UPPER(B305)="X")=1))+((UPPER(B309)="X")*((UPPER(B309)="X")+(UPPER(B310)="X")+(UPPER(B311)="X")+(UPPER(B312)="X")=1))+((UPPER(B317)="X")*((UPPER(B316)="X")+(UPPER(B317)="X")+(UPPER(B318)="X")+(UPPER(B319)="X")=1))+((UPPER(B325)="X")*((UPPER(B323)="X")+(UPPER(B324)="X")+(UPPER(B325)="X")+(UPPER(B326)="X")=1))+((UPPER(B333)="X")*((UPPER(B330)="X")+(UPPER(B331)="X")+(UPPER(B332)="X")+(UPPER(B333)="X")=1))</f>
        <v>40</v>
      </c>
    </row>
    <row r="25" spans="4:12" ht="7.95" customHeight="1"/>
    <row r="26" spans="4:12" ht="15" customHeight="1">
      <c r="D26" s="10" t="s">
        <v>12</v>
      </c>
      <c r="E26" s="8"/>
      <c r="G26" s="18">
        <f>IF(G28="","",IF(G28&gt;=95,1,IF(G28&gt;=89,1.3,IF(G28&gt;=85,1.7,IF(G28&gt;=81,2,IF(G28&gt;=77,2.3,IF(G28&gt;=73,2.7,IF(G28&gt;=69,3,IF(G28&gt;=65,3.3,IF(G28&gt;=60,3.7,IF(G28&gt;=55,4,IF(G28&gt;=50,4.3,"nicht bestanden"))))))))))))</f>
        <v>1</v>
      </c>
    </row>
    <row r="27" spans="4:12" ht="7.95" customHeight="1"/>
    <row r="28" spans="4:12" ht="15" customHeight="1">
      <c r="D28" s="10" t="s">
        <v>13</v>
      </c>
      <c r="E28" s="8"/>
      <c r="G28" s="18">
        <f>IF(G22=0,"",ROUND(G24/G22*100,2))</f>
        <v>100</v>
      </c>
    </row>
    <row r="30" spans="4:12" ht="28.05" customHeight="1">
      <c r="E30" s="12" t="s">
        <v>14</v>
      </c>
      <c r="F30" s="8"/>
      <c r="G30" s="12" t="s">
        <v>15</v>
      </c>
      <c r="H30" s="8"/>
    </row>
    <row r="31" spans="4:12" ht="15" customHeight="1">
      <c r="E31" s="7" t="s">
        <v>16</v>
      </c>
      <c r="F31" s="8"/>
      <c r="G31" s="7" t="s">
        <v>17</v>
      </c>
      <c r="H31" s="8"/>
    </row>
    <row r="32" spans="4:12" ht="15" customHeight="1">
      <c r="E32" s="7" t="s">
        <v>18</v>
      </c>
      <c r="F32" s="8"/>
      <c r="G32" s="7" t="s">
        <v>19</v>
      </c>
      <c r="H32" s="8"/>
    </row>
    <row r="33" spans="4:11" ht="15" customHeight="1">
      <c r="E33" s="7" t="s">
        <v>20</v>
      </c>
      <c r="F33" s="8"/>
      <c r="G33" s="7" t="s">
        <v>21</v>
      </c>
      <c r="H33" s="8"/>
    </row>
    <row r="34" spans="4:11" ht="15" customHeight="1">
      <c r="E34" s="7" t="s">
        <v>22</v>
      </c>
      <c r="F34" s="8"/>
      <c r="G34" s="7" t="s">
        <v>23</v>
      </c>
      <c r="H34" s="8"/>
    </row>
    <row r="35" spans="4:11" ht="15" customHeight="1">
      <c r="E35" s="7" t="s">
        <v>24</v>
      </c>
      <c r="F35" s="8"/>
      <c r="G35" s="7" t="s">
        <v>25</v>
      </c>
      <c r="H35" s="8"/>
    </row>
    <row r="36" spans="4:11" ht="15" customHeight="1">
      <c r="E36" s="7" t="s">
        <v>26</v>
      </c>
      <c r="F36" s="8"/>
      <c r="G36" s="7" t="s">
        <v>27</v>
      </c>
      <c r="H36" s="8"/>
    </row>
    <row r="37" spans="4:11" ht="15" customHeight="1">
      <c r="E37" s="7" t="s">
        <v>28</v>
      </c>
      <c r="F37" s="8"/>
      <c r="G37" s="7" t="s">
        <v>29</v>
      </c>
      <c r="H37" s="8"/>
    </row>
    <row r="38" spans="4:11" ht="15" customHeight="1">
      <c r="E38" s="7" t="s">
        <v>30</v>
      </c>
      <c r="F38" s="8"/>
      <c r="G38" s="7" t="s">
        <v>31</v>
      </c>
      <c r="H38" s="8"/>
    </row>
    <row r="39" spans="4:11" ht="15" customHeight="1">
      <c r="E39" s="7" t="s">
        <v>32</v>
      </c>
      <c r="F39" s="8"/>
      <c r="G39" s="7" t="s">
        <v>33</v>
      </c>
      <c r="H39" s="8"/>
    </row>
    <row r="40" spans="4:11" ht="15" customHeight="1">
      <c r="E40" s="7" t="s">
        <v>34</v>
      </c>
      <c r="F40" s="8"/>
      <c r="G40" s="7" t="s">
        <v>35</v>
      </c>
      <c r="H40" s="8"/>
    </row>
    <row r="41" spans="4:11" ht="15" customHeight="1">
      <c r="E41" s="7" t="s">
        <v>36</v>
      </c>
      <c r="F41" s="8"/>
      <c r="G41" s="7" t="s">
        <v>37</v>
      </c>
      <c r="H41" s="8"/>
    </row>
    <row r="42" spans="4:11" ht="15" customHeight="1">
      <c r="E42" s="7" t="s">
        <v>38</v>
      </c>
      <c r="F42" s="8"/>
      <c r="G42" s="7" t="s">
        <v>39</v>
      </c>
      <c r="H42" s="8"/>
    </row>
    <row r="45" spans="4:11" ht="15" customHeight="1">
      <c r="D45" s="10" t="s">
        <v>40</v>
      </c>
      <c r="E45" s="8"/>
    </row>
    <row r="46" spans="4:11">
      <c r="H46" s="44"/>
      <c r="I46" s="44"/>
      <c r="J46" s="44"/>
      <c r="K46" s="44"/>
    </row>
    <row r="47" spans="4:11" ht="15" customHeight="1">
      <c r="D47" s="20"/>
      <c r="E47" s="19" t="s">
        <v>236</v>
      </c>
      <c r="F47" s="19"/>
      <c r="H47" s="45"/>
      <c r="I47" s="45"/>
      <c r="J47" s="45"/>
      <c r="K47" s="45"/>
    </row>
    <row r="48" spans="4:11" ht="15" customHeight="1">
      <c r="D48" s="7" t="s">
        <v>41</v>
      </c>
      <c r="E48" s="8"/>
      <c r="H48" s="7" t="s">
        <v>42</v>
      </c>
      <c r="I48" s="8"/>
      <c r="J48" s="8"/>
      <c r="K48" s="8"/>
    </row>
    <row r="49" spans="2:12" ht="15" customHeight="1">
      <c r="D49" s="14"/>
      <c r="E49" s="8"/>
      <c r="H49" s="14"/>
      <c r="I49" s="8"/>
      <c r="J49" s="8"/>
      <c r="K49" s="8"/>
    </row>
    <row r="51" spans="2:12" ht="15" customHeight="1">
      <c r="D51" s="16" t="s">
        <v>43</v>
      </c>
      <c r="E51" s="8"/>
      <c r="F51" s="8"/>
      <c r="G51" s="8"/>
      <c r="H51" s="8"/>
      <c r="I51" s="8"/>
      <c r="J51" s="8"/>
      <c r="K51" s="8"/>
    </row>
    <row r="52" spans="2:12">
      <c r="D52" s="8"/>
      <c r="E52" s="8"/>
      <c r="F52" s="8"/>
      <c r="G52" s="8"/>
      <c r="H52" s="8"/>
      <c r="I52" s="8"/>
      <c r="J52" s="8"/>
      <c r="K52" s="8"/>
    </row>
    <row r="53" spans="2:12">
      <c r="D53" s="8"/>
      <c r="E53" s="8"/>
      <c r="F53" s="8"/>
      <c r="G53" s="8"/>
      <c r="H53" s="8"/>
      <c r="I53" s="8"/>
      <c r="J53" s="8"/>
      <c r="K53" s="8"/>
    </row>
    <row r="54" spans="2:12">
      <c r="D54" s="8"/>
      <c r="E54" s="8"/>
      <c r="F54" s="8"/>
      <c r="G54" s="8"/>
      <c r="H54" s="8"/>
      <c r="I54" s="8"/>
      <c r="J54" s="8"/>
      <c r="K54" s="8"/>
    </row>
    <row r="55" spans="2:12" ht="15" customHeight="1">
      <c r="B55" s="10" t="s">
        <v>44</v>
      </c>
      <c r="C55" s="8"/>
      <c r="D55" s="8"/>
      <c r="K55" s="4" t="s">
        <v>45</v>
      </c>
    </row>
    <row r="56" spans="2:12" ht="39" customHeight="1">
      <c r="B56" s="11" t="s">
        <v>200</v>
      </c>
      <c r="C56" s="8"/>
      <c r="D56" s="8"/>
      <c r="E56" s="8"/>
      <c r="F56" s="8"/>
      <c r="G56" s="8"/>
      <c r="H56" s="8"/>
      <c r="I56" s="8"/>
      <c r="J56" s="8"/>
      <c r="K56" s="8"/>
    </row>
    <row r="57" spans="2:12" ht="15" customHeight="1">
      <c r="B57" s="26" t="s">
        <v>235</v>
      </c>
      <c r="D57" s="2" t="s">
        <v>46</v>
      </c>
      <c r="E57" s="9" t="s">
        <v>47</v>
      </c>
      <c r="F57" s="8"/>
      <c r="G57" s="8"/>
      <c r="H57" s="8"/>
      <c r="I57" s="8"/>
      <c r="J57" s="8"/>
      <c r="K57" s="8"/>
      <c r="L57" s="6" t="b">
        <v>1</v>
      </c>
    </row>
    <row r="58" spans="2:12" ht="15" customHeight="1">
      <c r="B58" s="5"/>
      <c r="D58" s="2" t="s">
        <v>48</v>
      </c>
      <c r="E58" s="9" t="s">
        <v>49</v>
      </c>
      <c r="F58" s="8"/>
      <c r="G58" s="8"/>
      <c r="H58" s="8"/>
      <c r="I58" s="8"/>
      <c r="J58" s="8"/>
      <c r="K58" s="8"/>
      <c r="L58" s="6" t="b">
        <v>0</v>
      </c>
    </row>
    <row r="59" spans="2:12" ht="15" customHeight="1">
      <c r="B59" s="5"/>
      <c r="D59" s="2" t="s">
        <v>50</v>
      </c>
      <c r="E59" s="9" t="s">
        <v>51</v>
      </c>
      <c r="F59" s="8"/>
      <c r="G59" s="8"/>
      <c r="H59" s="8"/>
      <c r="I59" s="8"/>
      <c r="J59" s="8"/>
      <c r="K59" s="8"/>
      <c r="L59" s="6" t="b">
        <v>0</v>
      </c>
    </row>
    <row r="60" spans="2:12" ht="15" customHeight="1">
      <c r="B60" s="5"/>
      <c r="D60" s="2" t="s">
        <v>52</v>
      </c>
      <c r="E60" s="9" t="s">
        <v>53</v>
      </c>
      <c r="F60" s="8"/>
      <c r="G60" s="8"/>
      <c r="H60" s="8"/>
      <c r="I60" s="8"/>
      <c r="J60" s="8"/>
      <c r="K60" s="8"/>
      <c r="L60" s="6" t="b">
        <v>0</v>
      </c>
    </row>
    <row r="61" spans="2:12" ht="7.95" customHeight="1"/>
    <row r="62" spans="2:12" ht="15" customHeight="1">
      <c r="B62" s="10" t="s">
        <v>54</v>
      </c>
      <c r="C62" s="8"/>
      <c r="D62" s="8"/>
      <c r="K62" s="4" t="s">
        <v>45</v>
      </c>
    </row>
    <row r="63" spans="2:12" ht="39" customHeight="1">
      <c r="B63" s="11" t="s">
        <v>201</v>
      </c>
      <c r="C63" s="8"/>
      <c r="D63" s="8"/>
      <c r="E63" s="8"/>
      <c r="F63" s="8"/>
      <c r="G63" s="8"/>
      <c r="H63" s="8"/>
      <c r="I63" s="8"/>
      <c r="J63" s="8"/>
      <c r="K63" s="8"/>
    </row>
    <row r="64" spans="2:12" ht="15" customHeight="1">
      <c r="B64" s="5"/>
      <c r="D64" s="2" t="s">
        <v>46</v>
      </c>
      <c r="E64" s="9" t="s">
        <v>55</v>
      </c>
      <c r="F64" s="8"/>
      <c r="G64" s="8"/>
      <c r="H64" s="8"/>
      <c r="I64" s="8"/>
      <c r="J64" s="8"/>
      <c r="K64" s="8"/>
      <c r="L64" s="6" t="b">
        <v>0</v>
      </c>
    </row>
    <row r="65" spans="2:12" ht="15" customHeight="1">
      <c r="B65" s="26" t="s">
        <v>235</v>
      </c>
      <c r="D65" s="2" t="s">
        <v>48</v>
      </c>
      <c r="E65" s="9" t="s">
        <v>56</v>
      </c>
      <c r="F65" s="8"/>
      <c r="G65" s="8"/>
      <c r="H65" s="8"/>
      <c r="I65" s="8"/>
      <c r="J65" s="8"/>
      <c r="K65" s="8"/>
      <c r="L65" s="6" t="b">
        <v>1</v>
      </c>
    </row>
    <row r="66" spans="2:12" ht="15" customHeight="1">
      <c r="B66" s="5"/>
      <c r="D66" s="2" t="s">
        <v>50</v>
      </c>
      <c r="E66" s="9" t="s">
        <v>57</v>
      </c>
      <c r="F66" s="8"/>
      <c r="G66" s="8"/>
      <c r="H66" s="8"/>
      <c r="I66" s="8"/>
      <c r="J66" s="8"/>
      <c r="K66" s="8"/>
      <c r="L66" s="6" t="b">
        <v>0</v>
      </c>
    </row>
    <row r="67" spans="2:12" ht="15" customHeight="1">
      <c r="B67" s="5"/>
      <c r="D67" s="2" t="s">
        <v>52</v>
      </c>
      <c r="E67" s="9" t="s">
        <v>58</v>
      </c>
      <c r="F67" s="8"/>
      <c r="G67" s="8"/>
      <c r="H67" s="8"/>
      <c r="I67" s="8"/>
      <c r="J67" s="8"/>
      <c r="K67" s="8"/>
      <c r="L67" s="6" t="b">
        <v>0</v>
      </c>
    </row>
    <row r="68" spans="2:12" ht="7.95" customHeight="1"/>
    <row r="69" spans="2:12" ht="15" customHeight="1">
      <c r="B69" s="10" t="s">
        <v>59</v>
      </c>
      <c r="C69" s="8"/>
      <c r="D69" s="8"/>
      <c r="K69" s="4" t="s">
        <v>45</v>
      </c>
    </row>
    <row r="70" spans="2:12" ht="64.95" customHeight="1">
      <c r="B70" s="11" t="s">
        <v>202</v>
      </c>
      <c r="C70" s="8"/>
      <c r="D70" s="8"/>
      <c r="E70" s="8"/>
      <c r="F70" s="8"/>
      <c r="G70" s="8"/>
      <c r="H70" s="8"/>
      <c r="I70" s="8"/>
      <c r="J70" s="8"/>
      <c r="K70" s="8"/>
    </row>
    <row r="71" spans="2:12" ht="15" customHeight="1">
      <c r="B71" s="5"/>
      <c r="D71" s="2" t="s">
        <v>46</v>
      </c>
      <c r="E71" s="9" t="s">
        <v>60</v>
      </c>
      <c r="F71" s="8"/>
      <c r="G71" s="8"/>
      <c r="H71" s="8"/>
      <c r="I71" s="8"/>
      <c r="J71" s="8"/>
      <c r="K71" s="8"/>
      <c r="L71" s="6" t="b">
        <v>0</v>
      </c>
    </row>
    <row r="72" spans="2:12" ht="15" customHeight="1">
      <c r="B72" s="5"/>
      <c r="D72" s="2" t="s">
        <v>48</v>
      </c>
      <c r="E72" s="9" t="s">
        <v>61</v>
      </c>
      <c r="F72" s="8"/>
      <c r="G72" s="8"/>
      <c r="H72" s="8"/>
      <c r="I72" s="8"/>
      <c r="J72" s="8"/>
      <c r="K72" s="8"/>
      <c r="L72" s="6" t="b">
        <v>0</v>
      </c>
    </row>
    <row r="73" spans="2:12" ht="15" customHeight="1">
      <c r="B73" s="26" t="s">
        <v>235</v>
      </c>
      <c r="D73" s="2" t="s">
        <v>50</v>
      </c>
      <c r="E73" s="9" t="s">
        <v>62</v>
      </c>
      <c r="F73" s="8"/>
      <c r="G73" s="8"/>
      <c r="H73" s="8"/>
      <c r="I73" s="8"/>
      <c r="J73" s="8"/>
      <c r="K73" s="8"/>
      <c r="L73" s="6" t="b">
        <v>1</v>
      </c>
    </row>
    <row r="74" spans="2:12" ht="15" customHeight="1">
      <c r="B74" s="5"/>
      <c r="D74" s="2" t="s">
        <v>52</v>
      </c>
      <c r="E74" s="9" t="s">
        <v>63</v>
      </c>
      <c r="F74" s="8"/>
      <c r="G74" s="8"/>
      <c r="H74" s="8"/>
      <c r="I74" s="8"/>
      <c r="J74" s="8"/>
      <c r="K74" s="8"/>
      <c r="L74" s="6" t="b">
        <v>0</v>
      </c>
    </row>
    <row r="75" spans="2:12" ht="7.95" customHeight="1"/>
    <row r="76" spans="2:12" ht="15" customHeight="1">
      <c r="B76" s="10" t="s">
        <v>64</v>
      </c>
      <c r="C76" s="8"/>
      <c r="D76" s="8"/>
      <c r="K76" s="4" t="s">
        <v>45</v>
      </c>
    </row>
    <row r="77" spans="2:12" ht="64.95" customHeight="1">
      <c r="B77" s="11" t="s">
        <v>203</v>
      </c>
      <c r="C77" s="8"/>
      <c r="D77" s="8"/>
      <c r="E77" s="8"/>
      <c r="F77" s="8"/>
      <c r="G77" s="8"/>
      <c r="H77" s="8"/>
      <c r="I77" s="8"/>
      <c r="J77" s="8"/>
      <c r="K77" s="8"/>
    </row>
    <row r="78" spans="2:12" ht="15" customHeight="1">
      <c r="B78" s="5"/>
      <c r="D78" s="2" t="s">
        <v>46</v>
      </c>
      <c r="E78" s="9" t="s">
        <v>65</v>
      </c>
      <c r="F78" s="8"/>
      <c r="G78" s="8"/>
      <c r="H78" s="8"/>
      <c r="I78" s="8"/>
      <c r="J78" s="8"/>
      <c r="K78" s="8"/>
      <c r="L78" s="6" t="b">
        <v>0</v>
      </c>
    </row>
    <row r="79" spans="2:12" ht="15" customHeight="1">
      <c r="B79" s="5"/>
      <c r="D79" s="2" t="s">
        <v>48</v>
      </c>
      <c r="E79" s="9" t="s">
        <v>66</v>
      </c>
      <c r="F79" s="8"/>
      <c r="G79" s="8"/>
      <c r="H79" s="8"/>
      <c r="I79" s="8"/>
      <c r="J79" s="8"/>
      <c r="K79" s="8"/>
      <c r="L79" s="6" t="b">
        <v>0</v>
      </c>
    </row>
    <row r="80" spans="2:12" ht="15" customHeight="1">
      <c r="B80" s="5"/>
      <c r="D80" s="2" t="s">
        <v>50</v>
      </c>
      <c r="E80" s="9" t="s">
        <v>67</v>
      </c>
      <c r="F80" s="8"/>
      <c r="G80" s="8"/>
      <c r="H80" s="8"/>
      <c r="I80" s="8"/>
      <c r="J80" s="8"/>
      <c r="K80" s="8"/>
      <c r="L80" s="6" t="b">
        <v>0</v>
      </c>
    </row>
    <row r="81" spans="2:12" ht="15" customHeight="1">
      <c r="B81" s="26" t="s">
        <v>235</v>
      </c>
      <c r="D81" s="2" t="s">
        <v>52</v>
      </c>
      <c r="E81" s="9" t="s">
        <v>68</v>
      </c>
      <c r="F81" s="8"/>
      <c r="G81" s="8"/>
      <c r="H81" s="8"/>
      <c r="I81" s="8"/>
      <c r="J81" s="8"/>
      <c r="K81" s="8"/>
      <c r="L81" s="6" t="b">
        <v>1</v>
      </c>
    </row>
    <row r="82" spans="2:12" ht="7.95" customHeight="1"/>
    <row r="83" spans="2:12" ht="15" customHeight="1">
      <c r="B83" s="10" t="s">
        <v>69</v>
      </c>
      <c r="C83" s="8"/>
      <c r="D83" s="8"/>
      <c r="K83" s="4" t="s">
        <v>45</v>
      </c>
    </row>
    <row r="84" spans="2:12" ht="25.95" customHeight="1">
      <c r="B84" s="13" t="s">
        <v>70</v>
      </c>
      <c r="C84" s="8"/>
      <c r="D84" s="8"/>
      <c r="E84" s="8"/>
      <c r="F84" s="8"/>
      <c r="G84" s="8"/>
      <c r="H84" s="8"/>
      <c r="I84" s="8"/>
      <c r="J84" s="8"/>
      <c r="K84" s="8"/>
    </row>
    <row r="85" spans="2:12" ht="15" customHeight="1">
      <c r="B85" s="26" t="s">
        <v>235</v>
      </c>
      <c r="D85" s="2" t="s">
        <v>46</v>
      </c>
      <c r="E85" s="9" t="s">
        <v>71</v>
      </c>
      <c r="F85" s="8"/>
      <c r="G85" s="8"/>
      <c r="H85" s="8"/>
      <c r="I85" s="8"/>
      <c r="J85" s="8"/>
      <c r="K85" s="8"/>
      <c r="L85" s="6" t="b">
        <v>1</v>
      </c>
    </row>
    <row r="86" spans="2:12" ht="15" customHeight="1">
      <c r="B86" s="5"/>
      <c r="D86" s="2" t="s">
        <v>48</v>
      </c>
      <c r="E86" s="9" t="s">
        <v>72</v>
      </c>
      <c r="F86" s="8"/>
      <c r="G86" s="8"/>
      <c r="H86" s="8"/>
      <c r="I86" s="8"/>
      <c r="J86" s="8"/>
      <c r="K86" s="8"/>
      <c r="L86" s="6" t="b">
        <v>0</v>
      </c>
    </row>
    <row r="87" spans="2:12" ht="15" customHeight="1">
      <c r="B87" s="5"/>
      <c r="D87" s="2" t="s">
        <v>50</v>
      </c>
      <c r="E87" s="9" t="s">
        <v>73</v>
      </c>
      <c r="F87" s="8"/>
      <c r="G87" s="8"/>
      <c r="H87" s="8"/>
      <c r="I87" s="8"/>
      <c r="J87" s="8"/>
      <c r="K87" s="8"/>
      <c r="L87" s="6" t="b">
        <v>0</v>
      </c>
    </row>
    <row r="88" spans="2:12" ht="15" customHeight="1">
      <c r="B88" s="5"/>
      <c r="D88" s="2" t="s">
        <v>52</v>
      </c>
      <c r="E88" s="9" t="s">
        <v>74</v>
      </c>
      <c r="F88" s="8"/>
      <c r="G88" s="8"/>
      <c r="H88" s="8"/>
      <c r="I88" s="8"/>
      <c r="J88" s="8"/>
      <c r="K88" s="8"/>
      <c r="L88" s="6" t="b">
        <v>0</v>
      </c>
    </row>
    <row r="89" spans="2:12" ht="7.95" customHeight="1"/>
    <row r="90" spans="2:12" ht="15" customHeight="1">
      <c r="B90" s="10" t="s">
        <v>75</v>
      </c>
      <c r="C90" s="8"/>
      <c r="D90" s="8"/>
      <c r="K90" s="4" t="s">
        <v>45</v>
      </c>
    </row>
    <row r="91" spans="2:12" ht="39" customHeight="1">
      <c r="B91" s="11" t="s">
        <v>204</v>
      </c>
      <c r="C91" s="8"/>
      <c r="D91" s="8"/>
      <c r="E91" s="8"/>
      <c r="F91" s="8"/>
      <c r="G91" s="8"/>
      <c r="H91" s="8"/>
      <c r="I91" s="8"/>
      <c r="J91" s="8"/>
      <c r="K91" s="8"/>
    </row>
    <row r="92" spans="2:12" ht="15" customHeight="1">
      <c r="B92" s="5"/>
      <c r="D92" s="2" t="s">
        <v>46</v>
      </c>
      <c r="E92" s="9" t="s">
        <v>65</v>
      </c>
      <c r="F92" s="8"/>
      <c r="G92" s="8"/>
      <c r="H92" s="8"/>
      <c r="I92" s="8"/>
      <c r="J92" s="8"/>
      <c r="K92" s="8"/>
      <c r="L92" s="6" t="b">
        <v>0</v>
      </c>
    </row>
    <row r="93" spans="2:12" ht="15" customHeight="1">
      <c r="B93" s="26" t="s">
        <v>235</v>
      </c>
      <c r="D93" s="2" t="s">
        <v>48</v>
      </c>
      <c r="E93" s="9" t="s">
        <v>68</v>
      </c>
      <c r="F93" s="8"/>
      <c r="G93" s="8"/>
      <c r="H93" s="8"/>
      <c r="I93" s="8"/>
      <c r="J93" s="8"/>
      <c r="K93" s="8"/>
      <c r="L93" s="6" t="b">
        <v>1</v>
      </c>
    </row>
    <row r="94" spans="2:12" ht="15" customHeight="1">
      <c r="B94" s="5"/>
      <c r="D94" s="2" t="s">
        <v>50</v>
      </c>
      <c r="E94" s="9" t="s">
        <v>66</v>
      </c>
      <c r="F94" s="8"/>
      <c r="G94" s="8"/>
      <c r="H94" s="8"/>
      <c r="I94" s="8"/>
      <c r="J94" s="8"/>
      <c r="K94" s="8"/>
      <c r="L94" s="6" t="b">
        <v>0</v>
      </c>
    </row>
    <row r="95" spans="2:12" ht="15" customHeight="1">
      <c r="B95" s="5"/>
      <c r="D95" s="2" t="s">
        <v>52</v>
      </c>
      <c r="E95" s="9" t="s">
        <v>76</v>
      </c>
      <c r="F95" s="8"/>
      <c r="G95" s="8"/>
      <c r="H95" s="8"/>
      <c r="I95" s="8"/>
      <c r="J95" s="8"/>
      <c r="K95" s="8"/>
      <c r="L95" s="6" t="b">
        <v>0</v>
      </c>
    </row>
    <row r="96" spans="2:12" ht="7.95" customHeight="1"/>
    <row r="97" spans="2:12" ht="15" customHeight="1">
      <c r="B97" s="10" t="s">
        <v>77</v>
      </c>
      <c r="C97" s="8"/>
      <c r="D97" s="8"/>
      <c r="K97" s="4" t="s">
        <v>45</v>
      </c>
    </row>
    <row r="98" spans="2:12" ht="78" customHeight="1">
      <c r="B98" s="11" t="s">
        <v>205</v>
      </c>
      <c r="C98" s="8"/>
      <c r="D98" s="8"/>
      <c r="E98" s="8"/>
      <c r="F98" s="8"/>
      <c r="G98" s="8"/>
      <c r="H98" s="8"/>
      <c r="I98" s="8"/>
      <c r="J98" s="8"/>
      <c r="K98" s="8"/>
    </row>
    <row r="99" spans="2:12" ht="15" customHeight="1">
      <c r="B99" s="5"/>
      <c r="D99" s="2" t="s">
        <v>46</v>
      </c>
      <c r="E99" s="9" t="s">
        <v>67</v>
      </c>
      <c r="F99" s="8"/>
      <c r="G99" s="8"/>
      <c r="H99" s="8"/>
      <c r="I99" s="8"/>
      <c r="J99" s="8"/>
      <c r="K99" s="8"/>
      <c r="L99" s="6" t="b">
        <v>0</v>
      </c>
    </row>
    <row r="100" spans="2:12" ht="15" customHeight="1">
      <c r="B100" s="5"/>
      <c r="D100" s="2" t="s">
        <v>48</v>
      </c>
      <c r="E100" s="9" t="s">
        <v>78</v>
      </c>
      <c r="F100" s="8"/>
      <c r="G100" s="8"/>
      <c r="H100" s="8"/>
      <c r="I100" s="8"/>
      <c r="J100" s="8"/>
      <c r="K100" s="8"/>
      <c r="L100" s="6" t="b">
        <v>0</v>
      </c>
    </row>
    <row r="101" spans="2:12" ht="15" customHeight="1">
      <c r="B101" s="26" t="s">
        <v>235</v>
      </c>
      <c r="D101" s="2" t="s">
        <v>50</v>
      </c>
      <c r="E101" s="9" t="s">
        <v>79</v>
      </c>
      <c r="F101" s="8"/>
      <c r="G101" s="8"/>
      <c r="H101" s="8"/>
      <c r="I101" s="8"/>
      <c r="J101" s="8"/>
      <c r="K101" s="8"/>
      <c r="L101" s="6" t="b">
        <v>1</v>
      </c>
    </row>
    <row r="102" spans="2:12" ht="15" customHeight="1">
      <c r="B102" s="5"/>
      <c r="D102" s="2" t="s">
        <v>52</v>
      </c>
      <c r="E102" s="9" t="s">
        <v>80</v>
      </c>
      <c r="F102" s="8"/>
      <c r="G102" s="8"/>
      <c r="H102" s="8"/>
      <c r="I102" s="8"/>
      <c r="J102" s="8"/>
      <c r="K102" s="8"/>
      <c r="L102" s="6" t="b">
        <v>0</v>
      </c>
    </row>
    <row r="103" spans="2:12" ht="7.95" customHeight="1"/>
    <row r="104" spans="2:12" ht="15" customHeight="1">
      <c r="B104" s="10" t="s">
        <v>81</v>
      </c>
      <c r="C104" s="8"/>
      <c r="D104" s="8"/>
      <c r="K104" s="4" t="s">
        <v>45</v>
      </c>
    </row>
    <row r="105" spans="2:12" ht="103.95" customHeight="1">
      <c r="B105" s="11" t="s">
        <v>206</v>
      </c>
      <c r="C105" s="8"/>
      <c r="D105" s="8"/>
      <c r="E105" s="8"/>
      <c r="F105" s="8"/>
      <c r="G105" s="8"/>
      <c r="H105" s="8"/>
      <c r="I105" s="8"/>
      <c r="J105" s="8"/>
      <c r="K105" s="8"/>
    </row>
    <row r="106" spans="2:12" ht="15" customHeight="1">
      <c r="B106" s="5"/>
      <c r="D106" s="2" t="s">
        <v>46</v>
      </c>
      <c r="E106" s="9" t="s">
        <v>78</v>
      </c>
      <c r="F106" s="8"/>
      <c r="G106" s="8"/>
      <c r="H106" s="8"/>
      <c r="I106" s="8"/>
      <c r="J106" s="8"/>
      <c r="K106" s="8"/>
      <c r="L106" s="6" t="b">
        <v>0</v>
      </c>
    </row>
    <row r="107" spans="2:12" ht="15" customHeight="1">
      <c r="B107" s="5"/>
      <c r="D107" s="2" t="s">
        <v>48</v>
      </c>
      <c r="E107" s="9" t="s">
        <v>82</v>
      </c>
      <c r="F107" s="8"/>
      <c r="G107" s="8"/>
      <c r="H107" s="8"/>
      <c r="I107" s="8"/>
      <c r="J107" s="8"/>
      <c r="K107" s="8"/>
      <c r="L107" s="6" t="b">
        <v>0</v>
      </c>
    </row>
    <row r="108" spans="2:12" ht="15" customHeight="1">
      <c r="B108" s="5"/>
      <c r="D108" s="2" t="s">
        <v>50</v>
      </c>
      <c r="E108" s="9" t="s">
        <v>83</v>
      </c>
      <c r="F108" s="8"/>
      <c r="G108" s="8"/>
      <c r="H108" s="8"/>
      <c r="I108" s="8"/>
      <c r="J108" s="8"/>
      <c r="K108" s="8"/>
      <c r="L108" s="6" t="b">
        <v>0</v>
      </c>
    </row>
    <row r="109" spans="2:12" ht="15" customHeight="1">
      <c r="B109" s="26" t="s">
        <v>235</v>
      </c>
      <c r="D109" s="2" t="s">
        <v>52</v>
      </c>
      <c r="E109" s="9" t="s">
        <v>84</v>
      </c>
      <c r="F109" s="8"/>
      <c r="G109" s="8"/>
      <c r="H109" s="8"/>
      <c r="I109" s="8"/>
      <c r="J109" s="8"/>
      <c r="K109" s="8"/>
      <c r="L109" s="6" t="b">
        <v>1</v>
      </c>
    </row>
    <row r="110" spans="2:12" ht="7.95" customHeight="1"/>
    <row r="111" spans="2:12" ht="15" customHeight="1">
      <c r="B111" s="10" t="s">
        <v>85</v>
      </c>
      <c r="C111" s="8"/>
      <c r="D111" s="8"/>
      <c r="K111" s="4" t="s">
        <v>45</v>
      </c>
    </row>
    <row r="112" spans="2:12" ht="156" customHeight="1">
      <c r="B112" s="11" t="s">
        <v>207</v>
      </c>
      <c r="C112" s="8"/>
      <c r="D112" s="8"/>
      <c r="E112" s="8"/>
      <c r="F112" s="8"/>
      <c r="G112" s="8"/>
      <c r="H112" s="8"/>
      <c r="I112" s="8"/>
      <c r="J112" s="8"/>
      <c r="K112" s="8"/>
    </row>
    <row r="113" spans="2:12" ht="15" customHeight="1">
      <c r="B113" s="26" t="s">
        <v>235</v>
      </c>
      <c r="D113" s="2" t="s">
        <v>46</v>
      </c>
      <c r="E113" s="9" t="s">
        <v>86</v>
      </c>
      <c r="F113" s="8"/>
      <c r="G113" s="8"/>
      <c r="H113" s="8"/>
      <c r="I113" s="8"/>
      <c r="J113" s="8"/>
      <c r="K113" s="8"/>
      <c r="L113" s="6" t="b">
        <v>1</v>
      </c>
    </row>
    <row r="114" spans="2:12" ht="15" customHeight="1">
      <c r="B114" s="5"/>
      <c r="D114" s="2" t="s">
        <v>48</v>
      </c>
      <c r="E114" s="9" t="s">
        <v>87</v>
      </c>
      <c r="F114" s="8"/>
      <c r="G114" s="8"/>
      <c r="H114" s="8"/>
      <c r="I114" s="8"/>
      <c r="J114" s="8"/>
      <c r="K114" s="8"/>
      <c r="L114" s="6" t="b">
        <v>0</v>
      </c>
    </row>
    <row r="115" spans="2:12" ht="15" customHeight="1">
      <c r="B115" s="5"/>
      <c r="D115" s="2" t="s">
        <v>50</v>
      </c>
      <c r="E115" s="9" t="s">
        <v>88</v>
      </c>
      <c r="F115" s="8"/>
      <c r="G115" s="8"/>
      <c r="H115" s="8"/>
      <c r="I115" s="8"/>
      <c r="J115" s="8"/>
      <c r="K115" s="8"/>
      <c r="L115" s="6" t="b">
        <v>0</v>
      </c>
    </row>
    <row r="116" spans="2:12" ht="15" customHeight="1">
      <c r="B116" s="5"/>
      <c r="D116" s="2" t="s">
        <v>52</v>
      </c>
      <c r="E116" s="9" t="s">
        <v>89</v>
      </c>
      <c r="F116" s="8"/>
      <c r="G116" s="8"/>
      <c r="H116" s="8"/>
      <c r="I116" s="8"/>
      <c r="J116" s="8"/>
      <c r="K116" s="8"/>
      <c r="L116" s="6" t="b">
        <v>0</v>
      </c>
    </row>
    <row r="117" spans="2:12" ht="7.95" customHeight="1"/>
    <row r="118" spans="2:12" ht="15" customHeight="1">
      <c r="B118" s="10" t="s">
        <v>90</v>
      </c>
      <c r="C118" s="8"/>
      <c r="D118" s="8"/>
      <c r="K118" s="4" t="s">
        <v>45</v>
      </c>
    </row>
    <row r="119" spans="2:12" ht="78" customHeight="1">
      <c r="B119" s="11" t="s">
        <v>208</v>
      </c>
      <c r="C119" s="8"/>
      <c r="D119" s="8"/>
      <c r="E119" s="8"/>
      <c r="F119" s="8"/>
      <c r="G119" s="8"/>
      <c r="H119" s="8"/>
      <c r="I119" s="8"/>
      <c r="J119" s="8"/>
      <c r="K119" s="8"/>
    </row>
    <row r="120" spans="2:12" ht="15" customHeight="1">
      <c r="B120" s="5"/>
      <c r="D120" s="2" t="s">
        <v>46</v>
      </c>
      <c r="E120" s="9" t="s">
        <v>65</v>
      </c>
      <c r="F120" s="8"/>
      <c r="G120" s="8"/>
      <c r="H120" s="8"/>
      <c r="I120" s="8"/>
      <c r="J120" s="8"/>
      <c r="K120" s="8"/>
      <c r="L120" s="6" t="b">
        <v>0</v>
      </c>
    </row>
    <row r="121" spans="2:12" ht="15" customHeight="1">
      <c r="B121" s="26" t="s">
        <v>235</v>
      </c>
      <c r="D121" s="2" t="s">
        <v>48</v>
      </c>
      <c r="E121" s="9" t="s">
        <v>91</v>
      </c>
      <c r="F121" s="8"/>
      <c r="G121" s="8"/>
      <c r="H121" s="8"/>
      <c r="I121" s="8"/>
      <c r="J121" s="8"/>
      <c r="K121" s="8"/>
      <c r="L121" s="6" t="b">
        <v>1</v>
      </c>
    </row>
    <row r="122" spans="2:12" ht="15" customHeight="1">
      <c r="B122" s="5"/>
      <c r="D122" s="2" t="s">
        <v>50</v>
      </c>
      <c r="E122" s="9" t="s">
        <v>92</v>
      </c>
      <c r="F122" s="8"/>
      <c r="G122" s="8"/>
      <c r="H122" s="8"/>
      <c r="I122" s="8"/>
      <c r="J122" s="8"/>
      <c r="K122" s="8"/>
      <c r="L122" s="6" t="b">
        <v>0</v>
      </c>
    </row>
    <row r="123" spans="2:12" ht="15" customHeight="1">
      <c r="B123" s="5"/>
      <c r="D123" s="2" t="s">
        <v>52</v>
      </c>
      <c r="E123" s="9" t="s">
        <v>93</v>
      </c>
      <c r="F123" s="8"/>
      <c r="G123" s="8"/>
      <c r="H123" s="8"/>
      <c r="I123" s="8"/>
      <c r="J123" s="8"/>
      <c r="K123" s="8"/>
      <c r="L123" s="6" t="b">
        <v>0</v>
      </c>
    </row>
    <row r="124" spans="2:12" ht="7.95" customHeight="1"/>
    <row r="125" spans="2:12" ht="15" customHeight="1">
      <c r="B125" s="10" t="s">
        <v>94</v>
      </c>
      <c r="C125" s="8"/>
      <c r="D125" s="8"/>
      <c r="K125" s="4" t="s">
        <v>45</v>
      </c>
    </row>
    <row r="126" spans="2:12" ht="25.95" customHeight="1">
      <c r="B126" s="13" t="s">
        <v>95</v>
      </c>
      <c r="C126" s="8"/>
      <c r="D126" s="8"/>
      <c r="E126" s="8"/>
      <c r="F126" s="8"/>
      <c r="G126" s="8"/>
      <c r="H126" s="8"/>
      <c r="I126" s="8"/>
      <c r="J126" s="8"/>
      <c r="K126" s="8"/>
    </row>
    <row r="127" spans="2:12" ht="15" customHeight="1">
      <c r="B127" s="5"/>
      <c r="D127" s="2" t="s">
        <v>46</v>
      </c>
      <c r="E127" s="9" t="s">
        <v>96</v>
      </c>
      <c r="F127" s="8"/>
      <c r="G127" s="8"/>
      <c r="H127" s="8"/>
      <c r="I127" s="8"/>
      <c r="J127" s="8"/>
      <c r="K127" s="8"/>
      <c r="L127" s="6" t="b">
        <v>0</v>
      </c>
    </row>
    <row r="128" spans="2:12" ht="15" customHeight="1">
      <c r="B128" s="5"/>
      <c r="D128" s="2" t="s">
        <v>48</v>
      </c>
      <c r="E128" s="9" t="s">
        <v>97</v>
      </c>
      <c r="F128" s="8"/>
      <c r="G128" s="8"/>
      <c r="H128" s="8"/>
      <c r="I128" s="8"/>
      <c r="J128" s="8"/>
      <c r="K128" s="8"/>
      <c r="L128" s="6" t="b">
        <v>0</v>
      </c>
    </row>
    <row r="129" spans="2:12" ht="15" customHeight="1">
      <c r="B129" s="26" t="s">
        <v>235</v>
      </c>
      <c r="D129" s="2" t="s">
        <v>50</v>
      </c>
      <c r="E129" s="9" t="s">
        <v>78</v>
      </c>
      <c r="F129" s="8"/>
      <c r="G129" s="8"/>
      <c r="H129" s="8"/>
      <c r="I129" s="8"/>
      <c r="J129" s="8"/>
      <c r="K129" s="8"/>
      <c r="L129" s="6" t="b">
        <v>1</v>
      </c>
    </row>
    <row r="130" spans="2:12" ht="15" customHeight="1">
      <c r="B130" s="5"/>
      <c r="D130" s="2" t="s">
        <v>52</v>
      </c>
      <c r="E130" s="9" t="s">
        <v>83</v>
      </c>
      <c r="F130" s="8"/>
      <c r="G130" s="8"/>
      <c r="H130" s="8"/>
      <c r="I130" s="8"/>
      <c r="J130" s="8"/>
      <c r="K130" s="8"/>
      <c r="L130" s="6" t="b">
        <v>0</v>
      </c>
    </row>
    <row r="131" spans="2:12" ht="7.95" customHeight="1"/>
    <row r="132" spans="2:12" ht="15" customHeight="1">
      <c r="B132" s="10" t="s">
        <v>98</v>
      </c>
      <c r="C132" s="8"/>
      <c r="D132" s="8"/>
      <c r="K132" s="4" t="s">
        <v>45</v>
      </c>
    </row>
    <row r="133" spans="2:12" ht="25.95" customHeight="1">
      <c r="B133" s="11" t="s">
        <v>209</v>
      </c>
      <c r="C133" s="8"/>
      <c r="D133" s="8"/>
      <c r="E133" s="8"/>
      <c r="F133" s="8"/>
      <c r="G133" s="8"/>
      <c r="H133" s="8"/>
      <c r="I133" s="8"/>
      <c r="J133" s="8"/>
      <c r="K133" s="8"/>
    </row>
    <row r="134" spans="2:12" ht="15" customHeight="1">
      <c r="B134" s="5"/>
      <c r="D134" s="2" t="s">
        <v>46</v>
      </c>
      <c r="E134" s="9" t="s">
        <v>99</v>
      </c>
      <c r="F134" s="8"/>
      <c r="G134" s="8"/>
      <c r="H134" s="8"/>
      <c r="I134" s="8"/>
      <c r="J134" s="8"/>
      <c r="K134" s="8"/>
      <c r="L134" s="6" t="b">
        <v>0</v>
      </c>
    </row>
    <row r="135" spans="2:12" ht="15" customHeight="1">
      <c r="B135" s="5"/>
      <c r="D135" s="2" t="s">
        <v>48</v>
      </c>
      <c r="E135" s="9" t="s">
        <v>100</v>
      </c>
      <c r="F135" s="8"/>
      <c r="G135" s="8"/>
      <c r="H135" s="8"/>
      <c r="I135" s="8"/>
      <c r="J135" s="8"/>
      <c r="K135" s="8"/>
      <c r="L135" s="6" t="b">
        <v>0</v>
      </c>
    </row>
    <row r="136" spans="2:12" ht="15" customHeight="1">
      <c r="B136" s="5"/>
      <c r="D136" s="2" t="s">
        <v>50</v>
      </c>
      <c r="E136" s="9" t="s">
        <v>101</v>
      </c>
      <c r="F136" s="8"/>
      <c r="G136" s="8"/>
      <c r="H136" s="8"/>
      <c r="I136" s="8"/>
      <c r="J136" s="8"/>
      <c r="K136" s="8"/>
      <c r="L136" s="6" t="b">
        <v>0</v>
      </c>
    </row>
    <row r="137" spans="2:12" ht="15" customHeight="1">
      <c r="B137" s="26" t="s">
        <v>235</v>
      </c>
      <c r="D137" s="2" t="s">
        <v>52</v>
      </c>
      <c r="E137" s="9" t="s">
        <v>102</v>
      </c>
      <c r="F137" s="8"/>
      <c r="G137" s="8"/>
      <c r="H137" s="8"/>
      <c r="I137" s="8"/>
      <c r="J137" s="8"/>
      <c r="K137" s="8"/>
      <c r="L137" s="6" t="b">
        <v>1</v>
      </c>
    </row>
    <row r="138" spans="2:12" ht="7.95" customHeight="1"/>
    <row r="139" spans="2:12" ht="15" customHeight="1">
      <c r="B139" s="10" t="s">
        <v>103</v>
      </c>
      <c r="C139" s="8"/>
      <c r="D139" s="8"/>
      <c r="K139" s="4" t="s">
        <v>45</v>
      </c>
    </row>
    <row r="140" spans="2:12" ht="25.95" customHeight="1">
      <c r="B140" s="11" t="s">
        <v>210</v>
      </c>
      <c r="C140" s="8"/>
      <c r="D140" s="8"/>
      <c r="E140" s="8"/>
      <c r="F140" s="8"/>
      <c r="G140" s="8"/>
      <c r="H140" s="8"/>
      <c r="I140" s="8"/>
      <c r="J140" s="8"/>
      <c r="K140" s="8"/>
    </row>
    <row r="141" spans="2:12" ht="15" customHeight="1">
      <c r="B141" s="26" t="s">
        <v>235</v>
      </c>
      <c r="D141" s="2" t="s">
        <v>46</v>
      </c>
      <c r="E141" s="9" t="s">
        <v>68</v>
      </c>
      <c r="F141" s="8"/>
      <c r="G141" s="8"/>
      <c r="H141" s="8"/>
      <c r="I141" s="8"/>
      <c r="J141" s="8"/>
      <c r="K141" s="8"/>
      <c r="L141" s="6" t="b">
        <v>1</v>
      </c>
    </row>
    <row r="142" spans="2:12" ht="15" customHeight="1">
      <c r="B142" s="5"/>
      <c r="D142" s="2" t="s">
        <v>48</v>
      </c>
      <c r="E142" s="9" t="s">
        <v>65</v>
      </c>
      <c r="F142" s="8"/>
      <c r="G142" s="8"/>
      <c r="H142" s="8"/>
      <c r="I142" s="8"/>
      <c r="J142" s="8"/>
      <c r="K142" s="8"/>
      <c r="L142" s="6" t="b">
        <v>0</v>
      </c>
    </row>
    <row r="143" spans="2:12" ht="15" customHeight="1">
      <c r="B143" s="5"/>
      <c r="D143" s="2" t="s">
        <v>50</v>
      </c>
      <c r="E143" s="9" t="s">
        <v>104</v>
      </c>
      <c r="F143" s="8"/>
      <c r="G143" s="8"/>
      <c r="H143" s="8"/>
      <c r="I143" s="8"/>
      <c r="J143" s="8"/>
      <c r="K143" s="8"/>
      <c r="L143" s="6" t="b">
        <v>0</v>
      </c>
    </row>
    <row r="144" spans="2:12" ht="15" customHeight="1">
      <c r="B144" s="5"/>
      <c r="D144" s="2" t="s">
        <v>52</v>
      </c>
      <c r="E144" s="9" t="s">
        <v>67</v>
      </c>
      <c r="F144" s="8"/>
      <c r="G144" s="8"/>
      <c r="H144" s="8"/>
      <c r="I144" s="8"/>
      <c r="J144" s="8"/>
      <c r="K144" s="8"/>
      <c r="L144" s="6" t="b">
        <v>0</v>
      </c>
    </row>
    <row r="145" spans="2:12" ht="7.95" customHeight="1"/>
    <row r="146" spans="2:12" ht="15" customHeight="1">
      <c r="B146" s="10" t="s">
        <v>105</v>
      </c>
      <c r="C146" s="8"/>
      <c r="D146" s="8"/>
      <c r="K146" s="4" t="s">
        <v>45</v>
      </c>
    </row>
    <row r="147" spans="2:12" ht="25.95" customHeight="1">
      <c r="B147" s="11" t="s">
        <v>211</v>
      </c>
      <c r="C147" s="8"/>
      <c r="D147" s="8"/>
      <c r="E147" s="8"/>
      <c r="F147" s="8"/>
      <c r="G147" s="8"/>
      <c r="H147" s="8"/>
      <c r="I147" s="8"/>
      <c r="J147" s="8"/>
      <c r="K147" s="8"/>
    </row>
    <row r="148" spans="2:12" ht="15" customHeight="1">
      <c r="B148" s="5"/>
      <c r="D148" s="2" t="s">
        <v>46</v>
      </c>
      <c r="E148" s="9" t="s">
        <v>106</v>
      </c>
      <c r="F148" s="8"/>
      <c r="G148" s="8"/>
      <c r="H148" s="8"/>
      <c r="I148" s="8"/>
      <c r="J148" s="8"/>
      <c r="K148" s="8"/>
      <c r="L148" s="6" t="b">
        <v>0</v>
      </c>
    </row>
    <row r="149" spans="2:12" ht="15" customHeight="1">
      <c r="B149" s="26" t="s">
        <v>235</v>
      </c>
      <c r="D149" s="2" t="s">
        <v>48</v>
      </c>
      <c r="E149" s="9" t="s">
        <v>107</v>
      </c>
      <c r="F149" s="8"/>
      <c r="G149" s="8"/>
      <c r="H149" s="8"/>
      <c r="I149" s="8"/>
      <c r="J149" s="8"/>
      <c r="K149" s="8"/>
      <c r="L149" s="6" t="b">
        <v>1</v>
      </c>
    </row>
    <row r="150" spans="2:12" ht="15" customHeight="1">
      <c r="B150" s="5"/>
      <c r="D150" s="2" t="s">
        <v>50</v>
      </c>
      <c r="E150" s="9" t="s">
        <v>51</v>
      </c>
      <c r="F150" s="8"/>
      <c r="G150" s="8"/>
      <c r="H150" s="8"/>
      <c r="I150" s="8"/>
      <c r="J150" s="8"/>
      <c r="K150" s="8"/>
      <c r="L150" s="6" t="b">
        <v>0</v>
      </c>
    </row>
    <row r="151" spans="2:12" ht="15" customHeight="1">
      <c r="B151" s="5"/>
      <c r="D151" s="2" t="s">
        <v>52</v>
      </c>
      <c r="E151" s="9" t="s">
        <v>55</v>
      </c>
      <c r="F151" s="8"/>
      <c r="G151" s="8"/>
      <c r="H151" s="8"/>
      <c r="I151" s="8"/>
      <c r="J151" s="8"/>
      <c r="K151" s="8"/>
      <c r="L151" s="6" t="b">
        <v>0</v>
      </c>
    </row>
    <row r="152" spans="2:12" ht="7.95" customHeight="1"/>
    <row r="153" spans="2:12" ht="15" customHeight="1">
      <c r="B153" s="10" t="s">
        <v>108</v>
      </c>
      <c r="C153" s="8"/>
      <c r="D153" s="8"/>
      <c r="K153" s="4" t="s">
        <v>45</v>
      </c>
    </row>
    <row r="154" spans="2:12" ht="25.95" customHeight="1">
      <c r="B154" s="11" t="s">
        <v>212</v>
      </c>
      <c r="C154" s="8"/>
      <c r="D154" s="8"/>
      <c r="E154" s="8"/>
      <c r="F154" s="8"/>
      <c r="G154" s="8"/>
      <c r="H154" s="8"/>
      <c r="I154" s="8"/>
      <c r="J154" s="8"/>
      <c r="K154" s="8"/>
    </row>
    <row r="155" spans="2:12" ht="15" customHeight="1">
      <c r="B155" s="5"/>
      <c r="D155" s="2" t="s">
        <v>46</v>
      </c>
      <c r="E155" s="9" t="s">
        <v>99</v>
      </c>
      <c r="F155" s="8"/>
      <c r="G155" s="8"/>
      <c r="H155" s="8"/>
      <c r="I155" s="8"/>
      <c r="J155" s="8"/>
      <c r="K155" s="8"/>
      <c r="L155" s="6" t="b">
        <v>0</v>
      </c>
    </row>
    <row r="156" spans="2:12" ht="15" customHeight="1">
      <c r="B156" s="5"/>
      <c r="D156" s="2" t="s">
        <v>48</v>
      </c>
      <c r="E156" s="9" t="s">
        <v>109</v>
      </c>
      <c r="F156" s="8"/>
      <c r="G156" s="8"/>
      <c r="H156" s="8"/>
      <c r="I156" s="8"/>
      <c r="J156" s="8"/>
      <c r="K156" s="8"/>
      <c r="L156" s="6" t="b">
        <v>0</v>
      </c>
    </row>
    <row r="157" spans="2:12" ht="15" customHeight="1">
      <c r="B157" s="26" t="s">
        <v>235</v>
      </c>
      <c r="D157" s="2" t="s">
        <v>50</v>
      </c>
      <c r="E157" s="9" t="s">
        <v>106</v>
      </c>
      <c r="F157" s="8"/>
      <c r="G157" s="8"/>
      <c r="H157" s="8"/>
      <c r="I157" s="8"/>
      <c r="J157" s="8"/>
      <c r="K157" s="8"/>
      <c r="L157" s="6" t="b">
        <v>1</v>
      </c>
    </row>
    <row r="158" spans="2:12" ht="15" customHeight="1">
      <c r="B158" s="5"/>
      <c r="D158" s="2" t="s">
        <v>52</v>
      </c>
      <c r="E158" s="9" t="s">
        <v>107</v>
      </c>
      <c r="F158" s="8"/>
      <c r="G158" s="8"/>
      <c r="H158" s="8"/>
      <c r="I158" s="8"/>
      <c r="J158" s="8"/>
      <c r="K158" s="8"/>
      <c r="L158" s="6" t="b">
        <v>0</v>
      </c>
    </row>
    <row r="159" spans="2:12" ht="7.95" customHeight="1"/>
    <row r="160" spans="2:12" ht="15" customHeight="1">
      <c r="B160" s="10" t="s">
        <v>110</v>
      </c>
      <c r="C160" s="8"/>
      <c r="D160" s="8"/>
      <c r="K160" s="4" t="s">
        <v>45</v>
      </c>
    </row>
    <row r="161" spans="2:12" ht="25.95" customHeight="1">
      <c r="B161" s="11" t="s">
        <v>213</v>
      </c>
      <c r="C161" s="8"/>
      <c r="D161" s="8"/>
      <c r="E161" s="8"/>
      <c r="F161" s="8"/>
      <c r="G161" s="8"/>
      <c r="H161" s="8"/>
      <c r="I161" s="8"/>
      <c r="J161" s="8"/>
      <c r="K161" s="8"/>
    </row>
    <row r="162" spans="2:12" ht="15" customHeight="1">
      <c r="B162" s="5"/>
      <c r="D162" s="2" t="s">
        <v>46</v>
      </c>
      <c r="E162" s="9" t="s">
        <v>111</v>
      </c>
      <c r="F162" s="8"/>
      <c r="G162" s="8"/>
      <c r="H162" s="8"/>
      <c r="I162" s="8"/>
      <c r="J162" s="8"/>
      <c r="K162" s="8"/>
      <c r="L162" s="6" t="b">
        <v>0</v>
      </c>
    </row>
    <row r="163" spans="2:12" ht="15" customHeight="1">
      <c r="B163" s="5"/>
      <c r="D163" s="2" t="s">
        <v>48</v>
      </c>
      <c r="E163" s="9" t="s">
        <v>112</v>
      </c>
      <c r="F163" s="8"/>
      <c r="G163" s="8"/>
      <c r="H163" s="8"/>
      <c r="I163" s="8"/>
      <c r="J163" s="8"/>
      <c r="K163" s="8"/>
      <c r="L163" s="6" t="b">
        <v>0</v>
      </c>
    </row>
    <row r="164" spans="2:12" ht="15" customHeight="1">
      <c r="B164" s="5"/>
      <c r="D164" s="2" t="s">
        <v>50</v>
      </c>
      <c r="E164" s="9" t="s">
        <v>113</v>
      </c>
      <c r="F164" s="8"/>
      <c r="G164" s="8"/>
      <c r="H164" s="8"/>
      <c r="I164" s="8"/>
      <c r="J164" s="8"/>
      <c r="K164" s="8"/>
      <c r="L164" s="6" t="b">
        <v>0</v>
      </c>
    </row>
    <row r="165" spans="2:12" ht="15" customHeight="1">
      <c r="B165" s="26" t="s">
        <v>235</v>
      </c>
      <c r="D165" s="2" t="s">
        <v>52</v>
      </c>
      <c r="E165" s="9" t="s">
        <v>114</v>
      </c>
      <c r="F165" s="8"/>
      <c r="G165" s="8"/>
      <c r="H165" s="8"/>
      <c r="I165" s="8"/>
      <c r="J165" s="8"/>
      <c r="K165" s="8"/>
      <c r="L165" s="6" t="b">
        <v>1</v>
      </c>
    </row>
    <row r="166" spans="2:12" ht="7.95" customHeight="1"/>
    <row r="167" spans="2:12" ht="15" customHeight="1">
      <c r="B167" s="10" t="s">
        <v>115</v>
      </c>
      <c r="C167" s="8"/>
      <c r="D167" s="8"/>
      <c r="K167" s="4" t="s">
        <v>45</v>
      </c>
    </row>
    <row r="168" spans="2:12" ht="25.95" customHeight="1">
      <c r="B168" s="11" t="s">
        <v>214</v>
      </c>
      <c r="C168" s="8"/>
      <c r="D168" s="8"/>
      <c r="E168" s="8"/>
      <c r="F168" s="8"/>
      <c r="G168" s="8"/>
      <c r="H168" s="8"/>
      <c r="I168" s="8"/>
      <c r="J168" s="8"/>
      <c r="K168" s="8"/>
    </row>
    <row r="169" spans="2:12" ht="15" customHeight="1">
      <c r="B169" s="26" t="s">
        <v>235</v>
      </c>
      <c r="D169" s="2" t="s">
        <v>46</v>
      </c>
      <c r="E169" s="9" t="s">
        <v>65</v>
      </c>
      <c r="F169" s="8"/>
      <c r="G169" s="8"/>
      <c r="H169" s="8"/>
      <c r="I169" s="8"/>
      <c r="J169" s="8"/>
      <c r="K169" s="8"/>
      <c r="L169" s="6" t="b">
        <v>1</v>
      </c>
    </row>
    <row r="170" spans="2:12" ht="15" customHeight="1">
      <c r="B170" s="5"/>
      <c r="D170" s="2" t="s">
        <v>48</v>
      </c>
      <c r="E170" s="9" t="s">
        <v>68</v>
      </c>
      <c r="F170" s="8"/>
      <c r="G170" s="8"/>
      <c r="H170" s="8"/>
      <c r="I170" s="8"/>
      <c r="J170" s="8"/>
      <c r="K170" s="8"/>
      <c r="L170" s="6" t="b">
        <v>0</v>
      </c>
    </row>
    <row r="171" spans="2:12" ht="15" customHeight="1">
      <c r="B171" s="5"/>
      <c r="D171" s="2" t="s">
        <v>50</v>
      </c>
      <c r="E171" s="9" t="s">
        <v>66</v>
      </c>
      <c r="F171" s="8"/>
      <c r="G171" s="8"/>
      <c r="H171" s="8"/>
      <c r="I171" s="8"/>
      <c r="J171" s="8"/>
      <c r="K171" s="8"/>
      <c r="L171" s="6" t="b">
        <v>0</v>
      </c>
    </row>
    <row r="172" spans="2:12" ht="15" customHeight="1">
      <c r="B172" s="5"/>
      <c r="D172" s="2" t="s">
        <v>52</v>
      </c>
      <c r="E172" s="9" t="s">
        <v>67</v>
      </c>
      <c r="F172" s="8"/>
      <c r="G172" s="8"/>
      <c r="H172" s="8"/>
      <c r="I172" s="8"/>
      <c r="J172" s="8"/>
      <c r="K172" s="8"/>
      <c r="L172" s="6" t="b">
        <v>0</v>
      </c>
    </row>
    <row r="173" spans="2:12" ht="7.95" customHeight="1"/>
    <row r="174" spans="2:12" ht="15" customHeight="1">
      <c r="B174" s="10" t="s">
        <v>116</v>
      </c>
      <c r="C174" s="8"/>
      <c r="D174" s="8"/>
      <c r="K174" s="4" t="s">
        <v>45</v>
      </c>
    </row>
    <row r="175" spans="2:12" ht="25.95" customHeight="1">
      <c r="B175" s="11" t="s">
        <v>215</v>
      </c>
      <c r="C175" s="8"/>
      <c r="D175" s="8"/>
      <c r="E175" s="8"/>
      <c r="F175" s="8"/>
      <c r="G175" s="8"/>
      <c r="H175" s="8"/>
      <c r="I175" s="8"/>
      <c r="J175" s="8"/>
      <c r="K175" s="8"/>
    </row>
    <row r="176" spans="2:12" ht="15" customHeight="1">
      <c r="B176" s="5"/>
      <c r="D176" s="2" t="s">
        <v>46</v>
      </c>
      <c r="E176" s="9" t="s">
        <v>117</v>
      </c>
      <c r="F176" s="8"/>
      <c r="G176" s="8"/>
      <c r="H176" s="8"/>
      <c r="I176" s="8"/>
      <c r="J176" s="8"/>
      <c r="K176" s="8"/>
      <c r="L176" s="6" t="b">
        <v>0</v>
      </c>
    </row>
    <row r="177" spans="2:12" ht="15" customHeight="1">
      <c r="B177" s="26" t="s">
        <v>235</v>
      </c>
      <c r="D177" s="2" t="s">
        <v>48</v>
      </c>
      <c r="E177" s="9" t="s">
        <v>118</v>
      </c>
      <c r="F177" s="8"/>
      <c r="G177" s="8"/>
      <c r="H177" s="8"/>
      <c r="I177" s="8"/>
      <c r="J177" s="8"/>
      <c r="K177" s="8"/>
      <c r="L177" s="6" t="b">
        <v>1</v>
      </c>
    </row>
    <row r="178" spans="2:12" ht="15" customHeight="1">
      <c r="B178" s="26"/>
      <c r="D178" s="2" t="s">
        <v>50</v>
      </c>
      <c r="E178" s="9" t="s">
        <v>119</v>
      </c>
      <c r="F178" s="8"/>
      <c r="G178" s="8"/>
      <c r="H178" s="8"/>
      <c r="I178" s="8"/>
      <c r="J178" s="8"/>
      <c r="K178" s="8"/>
      <c r="L178" s="6" t="b">
        <v>0</v>
      </c>
    </row>
    <row r="179" spans="2:12" ht="15" customHeight="1">
      <c r="B179" s="5"/>
      <c r="D179" s="2" t="s">
        <v>52</v>
      </c>
      <c r="E179" s="9" t="s">
        <v>120</v>
      </c>
      <c r="F179" s="8"/>
      <c r="G179" s="8"/>
      <c r="H179" s="8"/>
      <c r="I179" s="8"/>
      <c r="J179" s="8"/>
      <c r="K179" s="8"/>
      <c r="L179" s="6" t="b">
        <v>0</v>
      </c>
    </row>
    <row r="180" spans="2:12" ht="7.95" customHeight="1"/>
    <row r="181" spans="2:12" ht="15" customHeight="1">
      <c r="B181" s="10" t="s">
        <v>121</v>
      </c>
      <c r="C181" s="8"/>
      <c r="D181" s="8"/>
      <c r="K181" s="4" t="s">
        <v>45</v>
      </c>
    </row>
    <row r="182" spans="2:12" ht="25.95" customHeight="1">
      <c r="B182" s="11" t="s">
        <v>216</v>
      </c>
      <c r="C182" s="8"/>
      <c r="D182" s="8"/>
      <c r="E182" s="8"/>
      <c r="F182" s="8"/>
      <c r="G182" s="8"/>
      <c r="H182" s="8"/>
      <c r="I182" s="8"/>
      <c r="J182" s="8"/>
      <c r="K182" s="8"/>
    </row>
    <row r="183" spans="2:12" ht="15" customHeight="1">
      <c r="B183" s="5"/>
      <c r="D183" s="2" t="s">
        <v>46</v>
      </c>
      <c r="E183" s="9" t="s">
        <v>122</v>
      </c>
      <c r="F183" s="8"/>
      <c r="G183" s="8"/>
      <c r="H183" s="8"/>
      <c r="I183" s="8"/>
      <c r="J183" s="8"/>
      <c r="K183" s="8"/>
      <c r="L183" s="6" t="b">
        <v>0</v>
      </c>
    </row>
    <row r="184" spans="2:12" ht="15" customHeight="1">
      <c r="B184" s="5"/>
      <c r="D184" s="2" t="s">
        <v>48</v>
      </c>
      <c r="E184" s="25" t="s">
        <v>237</v>
      </c>
      <c r="F184" s="8"/>
      <c r="G184" s="8"/>
      <c r="H184" s="8"/>
      <c r="I184" s="8"/>
      <c r="J184" s="8"/>
      <c r="K184" s="8"/>
      <c r="L184" s="6" t="b">
        <v>0</v>
      </c>
    </row>
    <row r="185" spans="2:12" ht="15" customHeight="1">
      <c r="B185" s="26" t="s">
        <v>235</v>
      </c>
      <c r="D185" s="2" t="s">
        <v>50</v>
      </c>
      <c r="E185" s="9" t="s">
        <v>123</v>
      </c>
      <c r="F185" s="8"/>
      <c r="G185" s="8"/>
      <c r="H185" s="8"/>
      <c r="I185" s="8"/>
      <c r="J185" s="8"/>
      <c r="K185" s="8"/>
      <c r="L185" s="6" t="b">
        <v>1</v>
      </c>
    </row>
    <row r="186" spans="2:12" ht="15" customHeight="1">
      <c r="B186" s="26"/>
      <c r="D186" s="2" t="s">
        <v>52</v>
      </c>
      <c r="E186" s="25" t="s">
        <v>238</v>
      </c>
      <c r="F186" s="8"/>
      <c r="G186" s="8"/>
      <c r="H186" s="8"/>
      <c r="I186" s="8"/>
      <c r="J186" s="8"/>
      <c r="K186" s="8"/>
      <c r="L186" s="6" t="b">
        <v>0</v>
      </c>
    </row>
    <row r="187" spans="2:12" ht="7.95" customHeight="1"/>
    <row r="188" spans="2:12" ht="15" customHeight="1">
      <c r="B188" s="10" t="s">
        <v>124</v>
      </c>
      <c r="C188" s="8"/>
      <c r="D188" s="8"/>
      <c r="K188" s="4" t="s">
        <v>45</v>
      </c>
    </row>
    <row r="189" spans="2:12" ht="103.95" customHeight="1">
      <c r="B189" s="11" t="s">
        <v>217</v>
      </c>
      <c r="C189" s="8"/>
      <c r="D189" s="8"/>
      <c r="E189" s="8"/>
      <c r="F189" s="8"/>
      <c r="G189" s="8"/>
      <c r="H189" s="8"/>
      <c r="I189" s="8"/>
      <c r="J189" s="8"/>
      <c r="K189" s="8"/>
    </row>
    <row r="190" spans="2:12" ht="15" customHeight="1">
      <c r="B190" s="5"/>
      <c r="D190" s="2" t="s">
        <v>46</v>
      </c>
      <c r="E190" s="9" t="s">
        <v>107</v>
      </c>
      <c r="F190" s="8"/>
      <c r="G190" s="8"/>
      <c r="H190" s="8"/>
      <c r="I190" s="8"/>
      <c r="J190" s="8"/>
      <c r="K190" s="8"/>
      <c r="L190" s="6" t="b">
        <v>0</v>
      </c>
    </row>
    <row r="191" spans="2:12" ht="15" customHeight="1">
      <c r="B191" s="5"/>
      <c r="D191" s="2" t="s">
        <v>48</v>
      </c>
      <c r="E191" s="9" t="s">
        <v>109</v>
      </c>
      <c r="F191" s="8"/>
      <c r="G191" s="8"/>
      <c r="H191" s="8"/>
      <c r="I191" s="8"/>
      <c r="J191" s="8"/>
      <c r="K191" s="8"/>
      <c r="L191" s="6" t="b">
        <v>0</v>
      </c>
    </row>
    <row r="192" spans="2:12" ht="15" customHeight="1">
      <c r="B192" s="5"/>
      <c r="D192" s="2" t="s">
        <v>50</v>
      </c>
      <c r="E192" s="9" t="s">
        <v>125</v>
      </c>
      <c r="F192" s="8"/>
      <c r="G192" s="8"/>
      <c r="H192" s="8"/>
      <c r="I192" s="8"/>
      <c r="J192" s="8"/>
      <c r="K192" s="8"/>
      <c r="L192" s="6" t="b">
        <v>0</v>
      </c>
    </row>
    <row r="193" spans="2:12" ht="15" customHeight="1">
      <c r="B193" s="26" t="s">
        <v>235</v>
      </c>
      <c r="D193" s="2" t="s">
        <v>52</v>
      </c>
      <c r="E193" s="9" t="s">
        <v>126</v>
      </c>
      <c r="F193" s="8"/>
      <c r="G193" s="8"/>
      <c r="H193" s="8"/>
      <c r="I193" s="8"/>
      <c r="J193" s="8"/>
      <c r="K193" s="8"/>
      <c r="L193" s="6" t="b">
        <v>1</v>
      </c>
    </row>
    <row r="194" spans="2:12" ht="7.95" customHeight="1"/>
    <row r="195" spans="2:12" ht="15" customHeight="1">
      <c r="B195" s="10" t="s">
        <v>127</v>
      </c>
      <c r="C195" s="8"/>
      <c r="D195" s="8"/>
      <c r="K195" s="4" t="s">
        <v>45</v>
      </c>
    </row>
    <row r="196" spans="2:12" ht="117" customHeight="1">
      <c r="B196" s="11" t="s">
        <v>218</v>
      </c>
      <c r="C196" s="8"/>
      <c r="D196" s="8"/>
      <c r="E196" s="8"/>
      <c r="F196" s="8"/>
      <c r="G196" s="8"/>
      <c r="H196" s="8"/>
      <c r="I196" s="8"/>
      <c r="J196" s="8"/>
      <c r="K196" s="8"/>
    </row>
    <row r="197" spans="2:12" ht="15" customHeight="1">
      <c r="B197" s="26" t="s">
        <v>235</v>
      </c>
      <c r="D197" s="2" t="s">
        <v>46</v>
      </c>
      <c r="E197" s="9" t="s">
        <v>128</v>
      </c>
      <c r="F197" s="8"/>
      <c r="G197" s="8"/>
      <c r="H197" s="8"/>
      <c r="I197" s="8"/>
      <c r="J197" s="8"/>
      <c r="K197" s="8"/>
      <c r="L197" s="6" t="b">
        <v>1</v>
      </c>
    </row>
    <row r="198" spans="2:12" ht="15" customHeight="1">
      <c r="B198" s="5"/>
      <c r="D198" s="2" t="s">
        <v>48</v>
      </c>
      <c r="E198" s="9" t="s">
        <v>129</v>
      </c>
      <c r="F198" s="8"/>
      <c r="G198" s="8"/>
      <c r="H198" s="8"/>
      <c r="I198" s="8"/>
      <c r="J198" s="8"/>
      <c r="K198" s="8"/>
      <c r="L198" s="6" t="b">
        <v>0</v>
      </c>
    </row>
    <row r="199" spans="2:12" ht="15" customHeight="1">
      <c r="B199" s="5"/>
      <c r="D199" s="2" t="s">
        <v>50</v>
      </c>
      <c r="E199" s="9" t="s">
        <v>130</v>
      </c>
      <c r="F199" s="8"/>
      <c r="G199" s="8"/>
      <c r="H199" s="8"/>
      <c r="I199" s="8"/>
      <c r="J199" s="8"/>
      <c r="K199" s="8"/>
      <c r="L199" s="6" t="b">
        <v>0</v>
      </c>
    </row>
    <row r="200" spans="2:12" ht="15" customHeight="1">
      <c r="B200" s="5"/>
      <c r="D200" s="2" t="s">
        <v>52</v>
      </c>
      <c r="E200" s="9" t="s">
        <v>76</v>
      </c>
      <c r="F200" s="8"/>
      <c r="G200" s="8"/>
      <c r="H200" s="8"/>
      <c r="I200" s="8"/>
      <c r="J200" s="8"/>
      <c r="K200" s="8"/>
      <c r="L200" s="6" t="b">
        <v>0</v>
      </c>
    </row>
    <row r="201" spans="2:12" ht="7.95" customHeight="1"/>
    <row r="202" spans="2:12" ht="15" customHeight="1">
      <c r="B202" s="10" t="s">
        <v>131</v>
      </c>
      <c r="C202" s="8"/>
      <c r="D202" s="8"/>
      <c r="K202" s="4" t="s">
        <v>45</v>
      </c>
    </row>
    <row r="203" spans="2:12" ht="91.05" customHeight="1">
      <c r="B203" s="11" t="s">
        <v>219</v>
      </c>
      <c r="C203" s="8"/>
      <c r="D203" s="8"/>
      <c r="E203" s="8"/>
      <c r="F203" s="8"/>
      <c r="G203" s="8"/>
      <c r="H203" s="8"/>
      <c r="I203" s="8"/>
      <c r="J203" s="8"/>
      <c r="K203" s="8"/>
    </row>
    <row r="204" spans="2:12" ht="15" customHeight="1">
      <c r="B204" s="26"/>
      <c r="D204" s="2" t="s">
        <v>46</v>
      </c>
      <c r="E204" s="9" t="s">
        <v>65</v>
      </c>
      <c r="F204" s="8"/>
      <c r="G204" s="8"/>
      <c r="H204" s="8"/>
      <c r="I204" s="8"/>
      <c r="J204" s="8"/>
      <c r="K204" s="8"/>
      <c r="L204" s="6" t="b">
        <v>0</v>
      </c>
    </row>
    <row r="205" spans="2:12" ht="15" customHeight="1">
      <c r="B205" s="26" t="s">
        <v>235</v>
      </c>
      <c r="D205" s="2" t="s">
        <v>48</v>
      </c>
      <c r="E205" s="9" t="s">
        <v>68</v>
      </c>
      <c r="F205" s="8"/>
      <c r="G205" s="8"/>
      <c r="H205" s="8"/>
      <c r="I205" s="8"/>
      <c r="J205" s="8"/>
      <c r="K205" s="8"/>
      <c r="L205" s="6" t="b">
        <v>1</v>
      </c>
    </row>
    <row r="206" spans="2:12" ht="15" customHeight="1">
      <c r="B206" s="5"/>
      <c r="D206" s="2" t="s">
        <v>50</v>
      </c>
      <c r="E206" s="9" t="s">
        <v>76</v>
      </c>
      <c r="F206" s="8"/>
      <c r="G206" s="8"/>
      <c r="H206" s="8"/>
      <c r="I206" s="8"/>
      <c r="J206" s="8"/>
      <c r="K206" s="8"/>
      <c r="L206" s="6" t="b">
        <v>0</v>
      </c>
    </row>
    <row r="207" spans="2:12" ht="15" customHeight="1">
      <c r="B207" s="5"/>
      <c r="D207" s="2" t="s">
        <v>52</v>
      </c>
      <c r="E207" s="9" t="s">
        <v>66</v>
      </c>
      <c r="F207" s="8"/>
      <c r="G207" s="8"/>
      <c r="H207" s="8"/>
      <c r="I207" s="8"/>
      <c r="J207" s="8"/>
      <c r="K207" s="8"/>
      <c r="L207" s="6" t="b">
        <v>0</v>
      </c>
    </row>
    <row r="208" spans="2:12" ht="7.95" customHeight="1"/>
    <row r="209" spans="2:12" ht="15" customHeight="1">
      <c r="B209" s="10" t="s">
        <v>132</v>
      </c>
      <c r="C209" s="8"/>
      <c r="D209" s="8"/>
      <c r="K209" s="4" t="s">
        <v>45</v>
      </c>
    </row>
    <row r="210" spans="2:12" ht="130.05000000000001" customHeight="1">
      <c r="B210" s="11" t="s">
        <v>220</v>
      </c>
      <c r="C210" s="8"/>
      <c r="D210" s="8"/>
      <c r="E210" s="8"/>
      <c r="F210" s="8"/>
      <c r="G210" s="8"/>
      <c r="H210" s="8"/>
      <c r="I210" s="8"/>
      <c r="J210" s="8"/>
      <c r="K210" s="8"/>
    </row>
    <row r="211" spans="2:12" ht="15" customHeight="1">
      <c r="B211" s="5"/>
      <c r="D211" s="2" t="s">
        <v>46</v>
      </c>
      <c r="E211" s="9" t="s">
        <v>133</v>
      </c>
      <c r="F211" s="8"/>
      <c r="G211" s="8"/>
      <c r="H211" s="8"/>
      <c r="I211" s="8"/>
      <c r="J211" s="8"/>
      <c r="K211" s="8"/>
      <c r="L211" s="6" t="b">
        <v>0</v>
      </c>
    </row>
    <row r="212" spans="2:12" ht="15" customHeight="1">
      <c r="B212" s="5"/>
      <c r="D212" s="2" t="s">
        <v>48</v>
      </c>
      <c r="E212" s="9" t="s">
        <v>134</v>
      </c>
      <c r="F212" s="8"/>
      <c r="G212" s="8"/>
      <c r="H212" s="8"/>
      <c r="I212" s="8"/>
      <c r="J212" s="8"/>
      <c r="K212" s="8"/>
      <c r="L212" s="6" t="b">
        <v>0</v>
      </c>
    </row>
    <row r="213" spans="2:12" ht="15" customHeight="1">
      <c r="B213" s="26" t="s">
        <v>235</v>
      </c>
      <c r="D213" s="2" t="s">
        <v>50</v>
      </c>
      <c r="E213" s="9" t="s">
        <v>135</v>
      </c>
      <c r="F213" s="8"/>
      <c r="G213" s="8"/>
      <c r="H213" s="8"/>
      <c r="I213" s="8"/>
      <c r="J213" s="8"/>
      <c r="K213" s="8"/>
      <c r="L213" s="6" t="b">
        <v>1</v>
      </c>
    </row>
    <row r="214" spans="2:12" ht="15" customHeight="1">
      <c r="B214" s="5"/>
      <c r="D214" s="2" t="s">
        <v>52</v>
      </c>
      <c r="E214" s="9" t="s">
        <v>130</v>
      </c>
      <c r="F214" s="8"/>
      <c r="G214" s="8"/>
      <c r="H214" s="8"/>
      <c r="I214" s="8"/>
      <c r="J214" s="8"/>
      <c r="K214" s="8"/>
      <c r="L214" s="6" t="b">
        <v>0</v>
      </c>
    </row>
    <row r="215" spans="2:12" ht="7.95" customHeight="1"/>
    <row r="216" spans="2:12" ht="15" customHeight="1">
      <c r="B216" s="10" t="s">
        <v>136</v>
      </c>
      <c r="C216" s="8"/>
      <c r="D216" s="8"/>
      <c r="K216" s="4" t="s">
        <v>45</v>
      </c>
    </row>
    <row r="217" spans="2:12" ht="117" customHeight="1">
      <c r="B217" s="11" t="s">
        <v>221</v>
      </c>
      <c r="C217" s="8"/>
      <c r="D217" s="8"/>
      <c r="E217" s="8"/>
      <c r="F217" s="8"/>
      <c r="G217" s="8"/>
      <c r="H217" s="8"/>
      <c r="I217" s="8"/>
      <c r="J217" s="8"/>
      <c r="K217" s="8"/>
    </row>
    <row r="218" spans="2:12" ht="15" customHeight="1">
      <c r="B218" s="5"/>
      <c r="D218" s="2" t="s">
        <v>46</v>
      </c>
      <c r="E218" s="9" t="s">
        <v>68</v>
      </c>
      <c r="F218" s="8"/>
      <c r="G218" s="8"/>
      <c r="H218" s="8"/>
      <c r="I218" s="8"/>
      <c r="J218" s="8"/>
      <c r="K218" s="8"/>
      <c r="L218" s="6" t="b">
        <v>0</v>
      </c>
    </row>
    <row r="219" spans="2:12" ht="15" customHeight="1">
      <c r="B219" s="5"/>
      <c r="D219" s="2" t="s">
        <v>48</v>
      </c>
      <c r="E219" s="9" t="s">
        <v>66</v>
      </c>
      <c r="F219" s="8"/>
      <c r="G219" s="8"/>
      <c r="H219" s="8"/>
      <c r="I219" s="8"/>
      <c r="J219" s="8"/>
      <c r="K219" s="8"/>
      <c r="L219" s="6" t="b">
        <v>0</v>
      </c>
    </row>
    <row r="220" spans="2:12" ht="15" customHeight="1">
      <c r="B220" s="5"/>
      <c r="D220" s="2" t="s">
        <v>50</v>
      </c>
      <c r="E220" s="9" t="s">
        <v>67</v>
      </c>
      <c r="F220" s="8"/>
      <c r="G220" s="8"/>
      <c r="H220" s="8"/>
      <c r="I220" s="8"/>
      <c r="J220" s="8"/>
      <c r="K220" s="8"/>
      <c r="L220" s="6" t="b">
        <v>0</v>
      </c>
    </row>
    <row r="221" spans="2:12" ht="15" customHeight="1">
      <c r="B221" s="26" t="s">
        <v>235</v>
      </c>
      <c r="D221" s="2" t="s">
        <v>52</v>
      </c>
      <c r="E221" s="9" t="s">
        <v>65</v>
      </c>
      <c r="F221" s="8"/>
      <c r="G221" s="8"/>
      <c r="H221" s="8"/>
      <c r="I221" s="8"/>
      <c r="J221" s="8"/>
      <c r="K221" s="8"/>
      <c r="L221" s="6" t="b">
        <v>1</v>
      </c>
    </row>
    <row r="222" spans="2:12" ht="7.95" customHeight="1"/>
    <row r="223" spans="2:12" ht="15" customHeight="1">
      <c r="B223" s="10" t="s">
        <v>137</v>
      </c>
      <c r="C223" s="8"/>
      <c r="D223" s="8"/>
      <c r="K223" s="4" t="s">
        <v>45</v>
      </c>
    </row>
    <row r="224" spans="2:12" ht="156" customHeight="1">
      <c r="B224" s="11" t="s">
        <v>222</v>
      </c>
      <c r="C224" s="8"/>
      <c r="D224" s="8"/>
      <c r="E224" s="8"/>
      <c r="F224" s="8"/>
      <c r="G224" s="8"/>
      <c r="H224" s="8"/>
      <c r="I224" s="8"/>
      <c r="J224" s="8"/>
      <c r="K224" s="8"/>
    </row>
    <row r="225" spans="2:12" ht="15" customHeight="1">
      <c r="B225" s="26" t="s">
        <v>235</v>
      </c>
      <c r="D225" s="2" t="s">
        <v>46</v>
      </c>
      <c r="E225" s="9" t="s">
        <v>138</v>
      </c>
      <c r="F225" s="8"/>
      <c r="G225" s="8"/>
      <c r="H225" s="8"/>
      <c r="I225" s="8"/>
      <c r="J225" s="8"/>
      <c r="K225" s="8"/>
      <c r="L225" s="6" t="b">
        <v>1</v>
      </c>
    </row>
    <row r="226" spans="2:12" ht="15" customHeight="1">
      <c r="B226" s="5"/>
      <c r="D226" s="2" t="s">
        <v>48</v>
      </c>
      <c r="E226" s="9" t="s">
        <v>99</v>
      </c>
      <c r="F226" s="8"/>
      <c r="G226" s="8"/>
      <c r="H226" s="8"/>
      <c r="I226" s="8"/>
      <c r="J226" s="8"/>
      <c r="K226" s="8"/>
      <c r="L226" s="6" t="b">
        <v>0</v>
      </c>
    </row>
    <row r="227" spans="2:12" ht="15" customHeight="1">
      <c r="B227" s="5"/>
      <c r="D227" s="2" t="s">
        <v>50</v>
      </c>
      <c r="E227" s="9" t="s">
        <v>139</v>
      </c>
      <c r="F227" s="8"/>
      <c r="G227" s="8"/>
      <c r="H227" s="8"/>
      <c r="I227" s="8"/>
      <c r="J227" s="8"/>
      <c r="K227" s="8"/>
      <c r="L227" s="6" t="b">
        <v>0</v>
      </c>
    </row>
    <row r="228" spans="2:12" ht="15" customHeight="1">
      <c r="B228" s="5"/>
      <c r="D228" s="2" t="s">
        <v>52</v>
      </c>
      <c r="E228" s="9" t="s">
        <v>51</v>
      </c>
      <c r="F228" s="8"/>
      <c r="G228" s="8"/>
      <c r="H228" s="8"/>
      <c r="I228" s="8"/>
      <c r="J228" s="8"/>
      <c r="K228" s="8"/>
      <c r="L228" s="6" t="b">
        <v>0</v>
      </c>
    </row>
    <row r="229" spans="2:12" ht="7.95" customHeight="1"/>
    <row r="230" spans="2:12" ht="15" customHeight="1">
      <c r="B230" s="10" t="s">
        <v>140</v>
      </c>
      <c r="C230" s="8"/>
      <c r="D230" s="8"/>
      <c r="K230" s="4" t="s">
        <v>45</v>
      </c>
    </row>
    <row r="231" spans="2:12" ht="103.95" customHeight="1">
      <c r="B231" s="11" t="s">
        <v>223</v>
      </c>
      <c r="C231" s="8"/>
      <c r="D231" s="8"/>
      <c r="E231" s="8"/>
      <c r="F231" s="8"/>
      <c r="G231" s="8"/>
      <c r="H231" s="8"/>
      <c r="I231" s="8"/>
      <c r="J231" s="8"/>
      <c r="K231" s="8"/>
    </row>
    <row r="232" spans="2:12" ht="15" customHeight="1">
      <c r="B232" s="5"/>
      <c r="D232" s="2" t="s">
        <v>46</v>
      </c>
      <c r="E232" s="9" t="s">
        <v>65</v>
      </c>
      <c r="F232" s="8"/>
      <c r="G232" s="8"/>
      <c r="H232" s="8"/>
      <c r="I232" s="8"/>
      <c r="J232" s="8"/>
      <c r="K232" s="8"/>
      <c r="L232" s="6" t="b">
        <v>0</v>
      </c>
    </row>
    <row r="233" spans="2:12" ht="15" customHeight="1">
      <c r="B233" s="26" t="s">
        <v>235</v>
      </c>
      <c r="D233" s="2" t="s">
        <v>48</v>
      </c>
      <c r="E233" s="9" t="s">
        <v>68</v>
      </c>
      <c r="F233" s="8"/>
      <c r="G233" s="8"/>
      <c r="H233" s="8"/>
      <c r="I233" s="8"/>
      <c r="J233" s="8"/>
      <c r="K233" s="8"/>
      <c r="L233" s="6" t="b">
        <v>1</v>
      </c>
    </row>
    <row r="234" spans="2:12" ht="15" customHeight="1">
      <c r="B234" s="5"/>
      <c r="D234" s="2" t="s">
        <v>50</v>
      </c>
      <c r="E234" s="9" t="s">
        <v>76</v>
      </c>
      <c r="F234" s="8"/>
      <c r="G234" s="8"/>
      <c r="H234" s="8"/>
      <c r="I234" s="8"/>
      <c r="J234" s="8"/>
      <c r="K234" s="8"/>
      <c r="L234" s="6" t="b">
        <v>0</v>
      </c>
    </row>
    <row r="235" spans="2:12" ht="15" customHeight="1">
      <c r="B235" s="5"/>
      <c r="D235" s="2" t="s">
        <v>52</v>
      </c>
      <c r="E235" s="9" t="s">
        <v>66</v>
      </c>
      <c r="F235" s="8"/>
      <c r="G235" s="8"/>
      <c r="H235" s="8"/>
      <c r="I235" s="8"/>
      <c r="J235" s="8"/>
      <c r="K235" s="8"/>
      <c r="L235" s="6" t="b">
        <v>0</v>
      </c>
    </row>
    <row r="236" spans="2:12" ht="7.95" customHeight="1"/>
    <row r="237" spans="2:12" ht="15" customHeight="1">
      <c r="B237" s="10" t="s">
        <v>141</v>
      </c>
      <c r="C237" s="8"/>
      <c r="D237" s="8"/>
      <c r="K237" s="4" t="s">
        <v>45</v>
      </c>
    </row>
    <row r="238" spans="2:12" ht="117" customHeight="1">
      <c r="B238" s="11" t="s">
        <v>224</v>
      </c>
      <c r="C238" s="8"/>
      <c r="D238" s="8"/>
      <c r="E238" s="8"/>
      <c r="F238" s="8"/>
      <c r="G238" s="8"/>
      <c r="H238" s="8"/>
      <c r="I238" s="8"/>
      <c r="J238" s="8"/>
      <c r="K238" s="8"/>
    </row>
    <row r="239" spans="2:12" ht="15" customHeight="1">
      <c r="B239" s="5"/>
      <c r="D239" s="2" t="s">
        <v>46</v>
      </c>
      <c r="E239" s="9" t="s">
        <v>142</v>
      </c>
      <c r="F239" s="8"/>
      <c r="G239" s="8"/>
      <c r="H239" s="8"/>
      <c r="I239" s="8"/>
      <c r="J239" s="8"/>
      <c r="K239" s="8"/>
      <c r="L239" s="6" t="b">
        <v>0</v>
      </c>
    </row>
    <row r="240" spans="2:12" ht="15" customHeight="1">
      <c r="B240" s="5"/>
      <c r="D240" s="2" t="s">
        <v>48</v>
      </c>
      <c r="E240" s="9" t="s">
        <v>143</v>
      </c>
      <c r="F240" s="8"/>
      <c r="G240" s="8"/>
      <c r="H240" s="8"/>
      <c r="I240" s="8"/>
      <c r="J240" s="8"/>
      <c r="K240" s="8"/>
      <c r="L240" s="6" t="b">
        <v>0</v>
      </c>
    </row>
    <row r="241" spans="2:12" ht="15" customHeight="1">
      <c r="B241" s="26" t="s">
        <v>235</v>
      </c>
      <c r="D241" s="2" t="s">
        <v>50</v>
      </c>
      <c r="E241" s="9" t="s">
        <v>144</v>
      </c>
      <c r="F241" s="8"/>
      <c r="G241" s="8"/>
      <c r="H241" s="8"/>
      <c r="I241" s="8"/>
      <c r="J241" s="8"/>
      <c r="K241" s="8"/>
      <c r="L241" s="6" t="b">
        <v>1</v>
      </c>
    </row>
    <row r="242" spans="2:12" ht="15" customHeight="1">
      <c r="B242" s="5"/>
      <c r="D242" s="2" t="s">
        <v>52</v>
      </c>
      <c r="E242" s="9" t="s">
        <v>76</v>
      </c>
      <c r="F242" s="8"/>
      <c r="G242" s="8"/>
      <c r="H242" s="8"/>
      <c r="I242" s="8"/>
      <c r="J242" s="8"/>
      <c r="K242" s="8"/>
      <c r="L242" s="6" t="b">
        <v>0</v>
      </c>
    </row>
    <row r="243" spans="2:12" ht="7.95" customHeight="1"/>
    <row r="244" spans="2:12" ht="15" customHeight="1">
      <c r="B244" s="10" t="s">
        <v>145</v>
      </c>
      <c r="C244" s="8"/>
      <c r="D244" s="8"/>
      <c r="K244" s="4" t="s">
        <v>45</v>
      </c>
    </row>
    <row r="245" spans="2:12" ht="169.05" customHeight="1">
      <c r="B245" s="11" t="s">
        <v>225</v>
      </c>
      <c r="C245" s="8"/>
      <c r="D245" s="8"/>
      <c r="E245" s="8"/>
      <c r="F245" s="8"/>
      <c r="G245" s="8"/>
      <c r="H245" s="8"/>
      <c r="I245" s="8"/>
      <c r="J245" s="8"/>
      <c r="K245" s="8"/>
    </row>
    <row r="246" spans="2:12" ht="15" customHeight="1">
      <c r="B246" s="5"/>
      <c r="D246" s="2" t="s">
        <v>46</v>
      </c>
      <c r="E246" s="9" t="s">
        <v>146</v>
      </c>
      <c r="F246" s="8"/>
      <c r="G246" s="8"/>
      <c r="H246" s="8"/>
      <c r="I246" s="8"/>
      <c r="J246" s="8"/>
      <c r="K246" s="8"/>
      <c r="L246" s="6" t="b">
        <v>0</v>
      </c>
    </row>
    <row r="247" spans="2:12" ht="15" customHeight="1">
      <c r="B247" s="5"/>
      <c r="D247" s="2" t="s">
        <v>48</v>
      </c>
      <c r="E247" s="9" t="s">
        <v>147</v>
      </c>
      <c r="F247" s="8"/>
      <c r="G247" s="8"/>
      <c r="H247" s="8"/>
      <c r="I247" s="8"/>
      <c r="J247" s="8"/>
      <c r="K247" s="8"/>
      <c r="L247" s="6" t="b">
        <v>0</v>
      </c>
    </row>
    <row r="248" spans="2:12" ht="15" customHeight="1">
      <c r="B248" s="5"/>
      <c r="D248" s="2" t="s">
        <v>50</v>
      </c>
      <c r="E248" s="9" t="s">
        <v>76</v>
      </c>
      <c r="F248" s="8"/>
      <c r="G248" s="8"/>
      <c r="H248" s="8"/>
      <c r="I248" s="8"/>
      <c r="J248" s="8"/>
      <c r="K248" s="8"/>
      <c r="L248" s="6" t="b">
        <v>0</v>
      </c>
    </row>
    <row r="249" spans="2:12" ht="15" customHeight="1">
      <c r="B249" s="26" t="s">
        <v>235</v>
      </c>
      <c r="D249" s="2" t="s">
        <v>52</v>
      </c>
      <c r="E249" s="9" t="s">
        <v>148</v>
      </c>
      <c r="F249" s="8"/>
      <c r="G249" s="8"/>
      <c r="H249" s="8"/>
      <c r="I249" s="8"/>
      <c r="J249" s="8"/>
      <c r="K249" s="8"/>
      <c r="L249" s="6" t="b">
        <v>1</v>
      </c>
    </row>
    <row r="250" spans="2:12" ht="7.95" customHeight="1"/>
    <row r="251" spans="2:12" ht="15" customHeight="1">
      <c r="B251" s="10" t="s">
        <v>149</v>
      </c>
      <c r="C251" s="8"/>
      <c r="D251" s="8"/>
      <c r="K251" s="4" t="s">
        <v>45</v>
      </c>
    </row>
    <row r="252" spans="2:12" ht="91.05" customHeight="1">
      <c r="B252" s="11" t="s">
        <v>226</v>
      </c>
      <c r="C252" s="8"/>
      <c r="D252" s="8"/>
      <c r="E252" s="8"/>
      <c r="F252" s="8"/>
      <c r="G252" s="8"/>
      <c r="H252" s="8"/>
      <c r="I252" s="8"/>
      <c r="J252" s="8"/>
      <c r="K252" s="8"/>
    </row>
    <row r="253" spans="2:12" ht="15" customHeight="1">
      <c r="B253" s="26" t="s">
        <v>235</v>
      </c>
      <c r="D253" s="2" t="s">
        <v>46</v>
      </c>
      <c r="E253" s="9" t="s">
        <v>68</v>
      </c>
      <c r="F253" s="8"/>
      <c r="G253" s="8"/>
      <c r="H253" s="8"/>
      <c r="I253" s="8"/>
      <c r="J253" s="8"/>
      <c r="K253" s="8"/>
      <c r="L253" s="6" t="b">
        <v>1</v>
      </c>
    </row>
    <row r="254" spans="2:12" ht="15" customHeight="1">
      <c r="B254" s="5"/>
      <c r="D254" s="2" t="s">
        <v>48</v>
      </c>
      <c r="E254" s="9" t="s">
        <v>65</v>
      </c>
      <c r="F254" s="8"/>
      <c r="G254" s="8"/>
      <c r="H254" s="8"/>
      <c r="I254" s="8"/>
      <c r="J254" s="8"/>
      <c r="K254" s="8"/>
      <c r="L254" s="6" t="b">
        <v>0</v>
      </c>
    </row>
    <row r="255" spans="2:12" ht="15" customHeight="1">
      <c r="B255" s="5"/>
      <c r="D255" s="2" t="s">
        <v>50</v>
      </c>
      <c r="E255" s="9" t="s">
        <v>66</v>
      </c>
      <c r="F255" s="8"/>
      <c r="G255" s="8"/>
      <c r="H255" s="8"/>
      <c r="I255" s="8"/>
      <c r="J255" s="8"/>
      <c r="K255" s="8"/>
      <c r="L255" s="6" t="b">
        <v>0</v>
      </c>
    </row>
    <row r="256" spans="2:12" ht="15" customHeight="1">
      <c r="B256" s="5"/>
      <c r="D256" s="2" t="s">
        <v>52</v>
      </c>
      <c r="E256" s="9" t="s">
        <v>67</v>
      </c>
      <c r="F256" s="8"/>
      <c r="G256" s="8"/>
      <c r="H256" s="8"/>
      <c r="I256" s="8"/>
      <c r="J256" s="8"/>
      <c r="K256" s="8"/>
      <c r="L256" s="6" t="b">
        <v>0</v>
      </c>
    </row>
    <row r="257" spans="2:12" ht="7.95" customHeight="1"/>
    <row r="258" spans="2:12" ht="15" customHeight="1">
      <c r="B258" s="10" t="s">
        <v>150</v>
      </c>
      <c r="C258" s="8"/>
      <c r="D258" s="8"/>
      <c r="K258" s="4" t="s">
        <v>45</v>
      </c>
    </row>
    <row r="259" spans="2:12" ht="130.05000000000001" customHeight="1">
      <c r="B259" s="11" t="s">
        <v>227</v>
      </c>
      <c r="C259" s="8"/>
      <c r="D259" s="8"/>
      <c r="E259" s="8"/>
      <c r="F259" s="8"/>
      <c r="G259" s="8"/>
      <c r="H259" s="8"/>
      <c r="I259" s="8"/>
      <c r="J259" s="8"/>
      <c r="K259" s="8"/>
    </row>
    <row r="260" spans="2:12" ht="15" customHeight="1">
      <c r="B260" s="5"/>
      <c r="D260" s="2" t="s">
        <v>46</v>
      </c>
      <c r="E260" s="9" t="s">
        <v>139</v>
      </c>
      <c r="F260" s="8"/>
      <c r="G260" s="8"/>
      <c r="H260" s="8"/>
      <c r="I260" s="8"/>
      <c r="J260" s="8"/>
      <c r="K260" s="8"/>
      <c r="L260" s="6" t="b">
        <v>0</v>
      </c>
    </row>
    <row r="261" spans="2:12" ht="15" customHeight="1">
      <c r="B261" s="26" t="s">
        <v>235</v>
      </c>
      <c r="D261" s="2" t="s">
        <v>48</v>
      </c>
      <c r="E261" s="9" t="s">
        <v>99</v>
      </c>
      <c r="F261" s="8"/>
      <c r="G261" s="8"/>
      <c r="H261" s="8"/>
      <c r="I261" s="8"/>
      <c r="J261" s="8"/>
      <c r="K261" s="8"/>
      <c r="L261" s="6" t="b">
        <v>1</v>
      </c>
    </row>
    <row r="262" spans="2:12" ht="15" customHeight="1">
      <c r="B262" s="5"/>
      <c r="D262" s="2" t="s">
        <v>50</v>
      </c>
      <c r="E262" s="9" t="s">
        <v>66</v>
      </c>
      <c r="F262" s="8"/>
      <c r="G262" s="8"/>
      <c r="H262" s="8"/>
      <c r="I262" s="8"/>
      <c r="J262" s="8"/>
      <c r="K262" s="8"/>
      <c r="L262" s="6" t="b">
        <v>0</v>
      </c>
    </row>
    <row r="263" spans="2:12" ht="15" customHeight="1">
      <c r="B263" s="5"/>
      <c r="D263" s="2" t="s">
        <v>52</v>
      </c>
      <c r="E263" s="9" t="s">
        <v>151</v>
      </c>
      <c r="F263" s="8"/>
      <c r="G263" s="8"/>
      <c r="H263" s="8"/>
      <c r="I263" s="8"/>
      <c r="J263" s="8"/>
      <c r="K263" s="8"/>
      <c r="L263" s="6" t="b">
        <v>0</v>
      </c>
    </row>
    <row r="264" spans="2:12" ht="7.95" customHeight="1"/>
    <row r="265" spans="2:12" ht="15" customHeight="1">
      <c r="B265" s="10" t="s">
        <v>152</v>
      </c>
      <c r="C265" s="8"/>
      <c r="D265" s="8"/>
      <c r="K265" s="4" t="s">
        <v>45</v>
      </c>
    </row>
    <row r="266" spans="2:12" ht="181.95" customHeight="1">
      <c r="B266" s="11" t="s">
        <v>228</v>
      </c>
      <c r="C266" s="8"/>
      <c r="D266" s="8"/>
      <c r="E266" s="8"/>
      <c r="F266" s="8"/>
      <c r="G266" s="8"/>
      <c r="H266" s="8"/>
      <c r="I266" s="8"/>
      <c r="J266" s="8"/>
      <c r="K266" s="8"/>
    </row>
    <row r="267" spans="2:12" ht="15" customHeight="1">
      <c r="B267" s="5"/>
      <c r="D267" s="2" t="s">
        <v>46</v>
      </c>
      <c r="E267" s="9" t="s">
        <v>153</v>
      </c>
      <c r="F267" s="8"/>
      <c r="G267" s="8"/>
      <c r="H267" s="8"/>
      <c r="I267" s="8"/>
      <c r="J267" s="8"/>
      <c r="K267" s="8"/>
      <c r="L267" s="6" t="b">
        <v>0</v>
      </c>
    </row>
    <row r="268" spans="2:12" ht="15" customHeight="1">
      <c r="B268" s="5"/>
      <c r="D268" s="2" t="s">
        <v>48</v>
      </c>
      <c r="E268" s="9" t="s">
        <v>154</v>
      </c>
      <c r="F268" s="8"/>
      <c r="G268" s="8"/>
      <c r="H268" s="8"/>
      <c r="I268" s="8"/>
      <c r="J268" s="8"/>
      <c r="K268" s="8"/>
      <c r="L268" s="6" t="b">
        <v>0</v>
      </c>
    </row>
    <row r="269" spans="2:12" ht="15" customHeight="1">
      <c r="B269" s="26" t="s">
        <v>235</v>
      </c>
      <c r="D269" s="2" t="s">
        <v>50</v>
      </c>
      <c r="E269" s="9" t="s">
        <v>155</v>
      </c>
      <c r="F269" s="8"/>
      <c r="G269" s="8"/>
      <c r="H269" s="8"/>
      <c r="I269" s="8"/>
      <c r="J269" s="8"/>
      <c r="K269" s="8"/>
      <c r="L269" s="6" t="b">
        <v>1</v>
      </c>
    </row>
    <row r="270" spans="2:12" ht="15" customHeight="1">
      <c r="B270" s="5"/>
      <c r="D270" s="2" t="s">
        <v>52</v>
      </c>
      <c r="E270" s="9" t="s">
        <v>156</v>
      </c>
      <c r="F270" s="8"/>
      <c r="G270" s="8"/>
      <c r="H270" s="8"/>
      <c r="I270" s="8"/>
      <c r="J270" s="8"/>
      <c r="K270" s="8"/>
      <c r="L270" s="6" t="b">
        <v>0</v>
      </c>
    </row>
    <row r="271" spans="2:12" ht="7.95" customHeight="1"/>
    <row r="272" spans="2:12" ht="15" customHeight="1">
      <c r="B272" s="10" t="s">
        <v>157</v>
      </c>
      <c r="C272" s="8"/>
      <c r="D272" s="8"/>
      <c r="K272" s="4" t="s">
        <v>45</v>
      </c>
    </row>
    <row r="273" spans="2:12" ht="91.05" customHeight="1">
      <c r="B273" s="11" t="s">
        <v>229</v>
      </c>
      <c r="C273" s="8"/>
      <c r="D273" s="8"/>
      <c r="E273" s="8"/>
      <c r="F273" s="8"/>
      <c r="G273" s="8"/>
      <c r="H273" s="8"/>
      <c r="I273" s="8"/>
      <c r="J273" s="8"/>
      <c r="K273" s="8"/>
    </row>
    <row r="274" spans="2:12" ht="15" customHeight="1">
      <c r="B274" s="5"/>
      <c r="D274" s="2" t="s">
        <v>46</v>
      </c>
      <c r="E274" s="9" t="s">
        <v>158</v>
      </c>
      <c r="F274" s="8"/>
      <c r="G274" s="8"/>
      <c r="H274" s="8"/>
      <c r="I274" s="8"/>
      <c r="J274" s="8"/>
      <c r="K274" s="8"/>
      <c r="L274" s="6" t="b">
        <v>0</v>
      </c>
    </row>
    <row r="275" spans="2:12" ht="15" customHeight="1">
      <c r="B275" s="5"/>
      <c r="D275" s="2" t="s">
        <v>48</v>
      </c>
      <c r="E275" s="9" t="s">
        <v>159</v>
      </c>
      <c r="F275" s="8"/>
      <c r="G275" s="8"/>
      <c r="H275" s="8"/>
      <c r="I275" s="8"/>
      <c r="J275" s="8"/>
      <c r="K275" s="8"/>
      <c r="L275" s="6" t="b">
        <v>0</v>
      </c>
    </row>
    <row r="276" spans="2:12" ht="15" customHeight="1">
      <c r="B276" s="5"/>
      <c r="D276" s="2" t="s">
        <v>50</v>
      </c>
      <c r="E276" s="9" t="s">
        <v>160</v>
      </c>
      <c r="F276" s="8"/>
      <c r="G276" s="8"/>
      <c r="H276" s="8"/>
      <c r="I276" s="8"/>
      <c r="J276" s="8"/>
      <c r="K276" s="8"/>
      <c r="L276" s="6" t="b">
        <v>0</v>
      </c>
    </row>
    <row r="277" spans="2:12" ht="15" customHeight="1">
      <c r="B277" s="26" t="s">
        <v>235</v>
      </c>
      <c r="D277" s="2" t="s">
        <v>52</v>
      </c>
      <c r="E277" s="9" t="s">
        <v>161</v>
      </c>
      <c r="F277" s="8"/>
      <c r="G277" s="8"/>
      <c r="H277" s="8"/>
      <c r="I277" s="8"/>
      <c r="J277" s="8"/>
      <c r="K277" s="8"/>
      <c r="L277" s="6" t="b">
        <v>1</v>
      </c>
    </row>
    <row r="278" spans="2:12" ht="7.95" customHeight="1"/>
    <row r="279" spans="2:12" ht="15" customHeight="1">
      <c r="B279" s="10" t="s">
        <v>162</v>
      </c>
      <c r="C279" s="8"/>
      <c r="D279" s="8"/>
      <c r="K279" s="4" t="s">
        <v>45</v>
      </c>
    </row>
    <row r="280" spans="2:12" ht="130.05000000000001" customHeight="1">
      <c r="B280" s="11" t="s">
        <v>230</v>
      </c>
      <c r="C280" s="8"/>
      <c r="D280" s="8"/>
      <c r="E280" s="8"/>
      <c r="F280" s="8"/>
      <c r="G280" s="8"/>
      <c r="H280" s="8"/>
      <c r="I280" s="8"/>
      <c r="J280" s="8"/>
      <c r="K280" s="8"/>
    </row>
    <row r="281" spans="2:12" ht="15" customHeight="1">
      <c r="B281" s="26" t="s">
        <v>235</v>
      </c>
      <c r="D281" s="2" t="s">
        <v>46</v>
      </c>
      <c r="E281" s="9" t="s">
        <v>163</v>
      </c>
      <c r="F281" s="8"/>
      <c r="G281" s="8"/>
      <c r="H281" s="8"/>
      <c r="I281" s="8"/>
      <c r="J281" s="8"/>
      <c r="K281" s="8"/>
      <c r="L281" s="6" t="b">
        <v>1</v>
      </c>
    </row>
    <row r="282" spans="2:12" ht="15" customHeight="1">
      <c r="B282" s="5"/>
      <c r="D282" s="2" t="s">
        <v>48</v>
      </c>
      <c r="E282" s="9" t="s">
        <v>164</v>
      </c>
      <c r="F282" s="8"/>
      <c r="G282" s="8"/>
      <c r="H282" s="8"/>
      <c r="I282" s="8"/>
      <c r="J282" s="8"/>
      <c r="K282" s="8"/>
      <c r="L282" s="6" t="b">
        <v>0</v>
      </c>
    </row>
    <row r="283" spans="2:12" ht="15" customHeight="1">
      <c r="B283" s="5"/>
      <c r="D283" s="2" t="s">
        <v>50</v>
      </c>
      <c r="E283" s="9" t="s">
        <v>165</v>
      </c>
      <c r="F283" s="8"/>
      <c r="G283" s="8"/>
      <c r="H283" s="8"/>
      <c r="I283" s="8"/>
      <c r="J283" s="8"/>
      <c r="K283" s="8"/>
      <c r="L283" s="6" t="b">
        <v>0</v>
      </c>
    </row>
    <row r="284" spans="2:12" ht="15" customHeight="1">
      <c r="B284" s="5"/>
      <c r="D284" s="2" t="s">
        <v>52</v>
      </c>
      <c r="E284" s="9" t="s">
        <v>166</v>
      </c>
      <c r="F284" s="8"/>
      <c r="G284" s="8"/>
      <c r="H284" s="8"/>
      <c r="I284" s="8"/>
      <c r="J284" s="8"/>
      <c r="K284" s="8"/>
      <c r="L284" s="6" t="b">
        <v>0</v>
      </c>
    </row>
    <row r="285" spans="2:12" ht="7.95" customHeight="1"/>
    <row r="286" spans="2:12" ht="15" customHeight="1">
      <c r="B286" s="10" t="s">
        <v>167</v>
      </c>
      <c r="C286" s="8"/>
      <c r="D286" s="8"/>
      <c r="K286" s="4" t="s">
        <v>45</v>
      </c>
    </row>
    <row r="287" spans="2:12" ht="25.95" customHeight="1">
      <c r="B287" s="13" t="s">
        <v>168</v>
      </c>
      <c r="C287" s="8"/>
      <c r="D287" s="8"/>
      <c r="E287" s="8"/>
      <c r="F287" s="8"/>
      <c r="G287" s="8"/>
      <c r="H287" s="8"/>
      <c r="I287" s="8"/>
      <c r="J287" s="8"/>
      <c r="K287" s="8"/>
    </row>
    <row r="288" spans="2:12" ht="15" customHeight="1">
      <c r="B288" s="5"/>
      <c r="D288" s="2" t="s">
        <v>46</v>
      </c>
      <c r="E288" s="9" t="s">
        <v>169</v>
      </c>
      <c r="F288" s="8"/>
      <c r="G288" s="8"/>
      <c r="H288" s="8"/>
      <c r="I288" s="8"/>
      <c r="J288" s="8"/>
      <c r="K288" s="8"/>
      <c r="L288" s="6" t="b">
        <v>0</v>
      </c>
    </row>
    <row r="289" spans="2:12" ht="15" customHeight="1">
      <c r="B289" s="26" t="s">
        <v>235</v>
      </c>
      <c r="D289" s="2" t="s">
        <v>48</v>
      </c>
      <c r="E289" s="9" t="s">
        <v>170</v>
      </c>
      <c r="F289" s="8"/>
      <c r="G289" s="8"/>
      <c r="H289" s="8"/>
      <c r="I289" s="8"/>
      <c r="J289" s="8"/>
      <c r="K289" s="8"/>
      <c r="L289" s="6" t="b">
        <v>1</v>
      </c>
    </row>
    <row r="290" spans="2:12" ht="15" customHeight="1">
      <c r="B290" s="5"/>
      <c r="D290" s="2" t="s">
        <v>50</v>
      </c>
      <c r="E290" s="9" t="s">
        <v>171</v>
      </c>
      <c r="F290" s="8"/>
      <c r="G290" s="8"/>
      <c r="H290" s="8"/>
      <c r="I290" s="8"/>
      <c r="J290" s="8"/>
      <c r="K290" s="8"/>
      <c r="L290" s="6" t="b">
        <v>0</v>
      </c>
    </row>
    <row r="291" spans="2:12" ht="15" customHeight="1">
      <c r="B291" s="5"/>
      <c r="D291" s="2" t="s">
        <v>52</v>
      </c>
      <c r="E291" s="9" t="s">
        <v>172</v>
      </c>
      <c r="F291" s="8"/>
      <c r="G291" s="8"/>
      <c r="H291" s="8"/>
      <c r="I291" s="8"/>
      <c r="J291" s="8"/>
      <c r="K291" s="8"/>
      <c r="L291" s="6" t="b">
        <v>0</v>
      </c>
    </row>
    <row r="292" spans="2:12" ht="7.95" customHeight="1"/>
    <row r="293" spans="2:12" ht="15" customHeight="1">
      <c r="B293" s="10" t="s">
        <v>173</v>
      </c>
      <c r="C293" s="8"/>
      <c r="D293" s="8"/>
      <c r="K293" s="4" t="s">
        <v>45</v>
      </c>
    </row>
    <row r="294" spans="2:12" ht="39" customHeight="1">
      <c r="B294" s="11" t="s">
        <v>231</v>
      </c>
      <c r="C294" s="8"/>
      <c r="D294" s="8"/>
      <c r="E294" s="8"/>
      <c r="F294" s="8"/>
      <c r="G294" s="8"/>
      <c r="H294" s="8"/>
      <c r="I294" s="8"/>
      <c r="J294" s="8"/>
      <c r="K294" s="8"/>
    </row>
    <row r="295" spans="2:12" ht="15" customHeight="1">
      <c r="B295" s="5"/>
      <c r="D295" s="2" t="s">
        <v>46</v>
      </c>
      <c r="E295" s="9" t="s">
        <v>174</v>
      </c>
      <c r="F295" s="8"/>
      <c r="G295" s="8"/>
      <c r="H295" s="8"/>
      <c r="I295" s="8"/>
      <c r="J295" s="8"/>
      <c r="K295" s="8"/>
      <c r="L295" s="6" t="b">
        <v>0</v>
      </c>
    </row>
    <row r="296" spans="2:12" ht="15" customHeight="1">
      <c r="B296" s="5"/>
      <c r="D296" s="2" t="s">
        <v>48</v>
      </c>
      <c r="E296" s="9" t="s">
        <v>175</v>
      </c>
      <c r="F296" s="8"/>
      <c r="G296" s="8"/>
      <c r="H296" s="8"/>
      <c r="I296" s="8"/>
      <c r="J296" s="8"/>
      <c r="K296" s="8"/>
      <c r="L296" s="6" t="b">
        <v>0</v>
      </c>
    </row>
    <row r="297" spans="2:12" ht="15" customHeight="1">
      <c r="B297" s="26" t="s">
        <v>235</v>
      </c>
      <c r="D297" s="2" t="s">
        <v>50</v>
      </c>
      <c r="E297" s="9" t="s">
        <v>176</v>
      </c>
      <c r="F297" s="8"/>
      <c r="G297" s="8"/>
      <c r="H297" s="8"/>
      <c r="I297" s="8"/>
      <c r="J297" s="8"/>
      <c r="K297" s="8"/>
      <c r="L297" s="6" t="b">
        <v>1</v>
      </c>
    </row>
    <row r="298" spans="2:12" ht="15" customHeight="1">
      <c r="B298" s="5"/>
      <c r="D298" s="2" t="s">
        <v>52</v>
      </c>
      <c r="E298" s="9" t="s">
        <v>177</v>
      </c>
      <c r="F298" s="8"/>
      <c r="G298" s="8"/>
      <c r="H298" s="8"/>
      <c r="I298" s="8"/>
      <c r="J298" s="8"/>
      <c r="K298" s="8"/>
      <c r="L298" s="6" t="b">
        <v>0</v>
      </c>
    </row>
    <row r="299" spans="2:12" ht="7.95" customHeight="1"/>
    <row r="300" spans="2:12" ht="15" customHeight="1">
      <c r="B300" s="10" t="s">
        <v>178</v>
      </c>
      <c r="C300" s="8"/>
      <c r="D300" s="8"/>
      <c r="K300" s="4" t="s">
        <v>45</v>
      </c>
    </row>
    <row r="301" spans="2:12" ht="52.05" customHeight="1">
      <c r="B301" s="11" t="s">
        <v>232</v>
      </c>
      <c r="C301" s="8"/>
      <c r="D301" s="8"/>
      <c r="E301" s="8"/>
      <c r="F301" s="8"/>
      <c r="G301" s="8"/>
      <c r="H301" s="8"/>
      <c r="I301" s="8"/>
      <c r="J301" s="8"/>
      <c r="K301" s="8"/>
    </row>
    <row r="302" spans="2:12" ht="15" customHeight="1">
      <c r="B302" s="5"/>
      <c r="D302" s="2" t="s">
        <v>46</v>
      </c>
      <c r="E302" s="9" t="s">
        <v>179</v>
      </c>
      <c r="F302" s="8"/>
      <c r="G302" s="8"/>
      <c r="H302" s="8"/>
      <c r="I302" s="8"/>
      <c r="J302" s="8"/>
      <c r="K302" s="8"/>
      <c r="L302" s="6" t="b">
        <v>0</v>
      </c>
    </row>
    <row r="303" spans="2:12" ht="15" customHeight="1">
      <c r="B303" s="5"/>
      <c r="D303" s="2" t="s">
        <v>48</v>
      </c>
      <c r="E303" s="9" t="s">
        <v>180</v>
      </c>
      <c r="F303" s="8"/>
      <c r="G303" s="8"/>
      <c r="H303" s="8"/>
      <c r="I303" s="8"/>
      <c r="J303" s="8"/>
      <c r="K303" s="8"/>
      <c r="L303" s="6" t="b">
        <v>0</v>
      </c>
    </row>
    <row r="304" spans="2:12" ht="15" customHeight="1">
      <c r="B304" s="5"/>
      <c r="D304" s="2" t="s">
        <v>50</v>
      </c>
      <c r="E304" s="9" t="s">
        <v>181</v>
      </c>
      <c r="F304" s="8"/>
      <c r="G304" s="8"/>
      <c r="H304" s="8"/>
      <c r="I304" s="8"/>
      <c r="J304" s="8"/>
      <c r="K304" s="8"/>
      <c r="L304" s="6" t="b">
        <v>0</v>
      </c>
    </row>
    <row r="305" spans="2:12" ht="15" customHeight="1">
      <c r="B305" s="26" t="s">
        <v>235</v>
      </c>
      <c r="D305" s="2" t="s">
        <v>52</v>
      </c>
      <c r="E305" s="9" t="s">
        <v>182</v>
      </c>
      <c r="F305" s="8"/>
      <c r="G305" s="8"/>
      <c r="H305" s="8"/>
      <c r="I305" s="8"/>
      <c r="J305" s="8"/>
      <c r="K305" s="8"/>
      <c r="L305" s="6" t="b">
        <v>1</v>
      </c>
    </row>
    <row r="306" spans="2:12" ht="7.95" customHeight="1"/>
    <row r="307" spans="2:12" ht="15" customHeight="1">
      <c r="B307" s="10" t="s">
        <v>183</v>
      </c>
      <c r="C307" s="8"/>
      <c r="D307" s="8"/>
      <c r="K307" s="4" t="s">
        <v>45</v>
      </c>
    </row>
    <row r="308" spans="2:12" ht="52.05" customHeight="1">
      <c r="B308" s="11" t="s">
        <v>233</v>
      </c>
      <c r="C308" s="8"/>
      <c r="D308" s="8"/>
      <c r="E308" s="8"/>
      <c r="F308" s="8"/>
      <c r="G308" s="8"/>
      <c r="H308" s="8"/>
      <c r="I308" s="8"/>
      <c r="J308" s="8"/>
      <c r="K308" s="8"/>
    </row>
    <row r="309" spans="2:12" ht="15" customHeight="1">
      <c r="B309" s="26" t="s">
        <v>235</v>
      </c>
      <c r="D309" s="2" t="s">
        <v>46</v>
      </c>
      <c r="E309" s="9" t="s">
        <v>55</v>
      </c>
      <c r="F309" s="8"/>
      <c r="G309" s="8"/>
      <c r="H309" s="8"/>
      <c r="I309" s="8"/>
      <c r="J309" s="8"/>
      <c r="K309" s="8"/>
      <c r="L309" s="6" t="b">
        <v>1</v>
      </c>
    </row>
    <row r="310" spans="2:12" ht="15" customHeight="1">
      <c r="B310" s="5"/>
      <c r="D310" s="2" t="s">
        <v>48</v>
      </c>
      <c r="E310" s="9" t="s">
        <v>184</v>
      </c>
      <c r="F310" s="8"/>
      <c r="G310" s="8"/>
      <c r="H310" s="8"/>
      <c r="I310" s="8"/>
      <c r="J310" s="8"/>
      <c r="K310" s="8"/>
      <c r="L310" s="6" t="b">
        <v>0</v>
      </c>
    </row>
    <row r="311" spans="2:12" ht="15" customHeight="1">
      <c r="B311" s="5"/>
      <c r="D311" s="2" t="s">
        <v>50</v>
      </c>
      <c r="E311" s="9" t="s">
        <v>185</v>
      </c>
      <c r="F311" s="8"/>
      <c r="G311" s="8"/>
      <c r="H311" s="8"/>
      <c r="I311" s="8"/>
      <c r="J311" s="8"/>
      <c r="K311" s="8"/>
      <c r="L311" s="6" t="b">
        <v>0</v>
      </c>
    </row>
    <row r="312" spans="2:12" ht="15" customHeight="1">
      <c r="B312" s="5"/>
      <c r="D312" s="2" t="s">
        <v>52</v>
      </c>
      <c r="E312" s="9" t="s">
        <v>109</v>
      </c>
      <c r="F312" s="8"/>
      <c r="G312" s="8"/>
      <c r="H312" s="8"/>
      <c r="I312" s="8"/>
      <c r="J312" s="8"/>
      <c r="K312" s="8"/>
      <c r="L312" s="6" t="b">
        <v>0</v>
      </c>
    </row>
    <row r="313" spans="2:12" ht="7.95" customHeight="1"/>
    <row r="314" spans="2:12" ht="15" customHeight="1">
      <c r="B314" s="10" t="s">
        <v>186</v>
      </c>
      <c r="C314" s="8"/>
      <c r="D314" s="8"/>
      <c r="K314" s="4" t="s">
        <v>45</v>
      </c>
    </row>
    <row r="315" spans="2:12" ht="103.95" customHeight="1">
      <c r="B315" s="11" t="s">
        <v>234</v>
      </c>
      <c r="C315" s="8"/>
      <c r="D315" s="8"/>
      <c r="E315" s="8"/>
      <c r="F315" s="8"/>
      <c r="G315" s="8"/>
      <c r="H315" s="8"/>
      <c r="I315" s="8"/>
      <c r="J315" s="8"/>
      <c r="K315" s="8"/>
    </row>
    <row r="316" spans="2:12" ht="15" customHeight="1">
      <c r="B316" s="5"/>
      <c r="D316" s="2" t="s">
        <v>46</v>
      </c>
      <c r="E316" s="9" t="s">
        <v>187</v>
      </c>
      <c r="F316" s="8"/>
      <c r="G316" s="8"/>
      <c r="H316" s="8"/>
      <c r="I316" s="8"/>
      <c r="J316" s="8"/>
      <c r="K316" s="8"/>
      <c r="L316" s="6" t="b">
        <v>0</v>
      </c>
    </row>
    <row r="317" spans="2:12" ht="15" customHeight="1">
      <c r="B317" s="26" t="s">
        <v>235</v>
      </c>
      <c r="D317" s="2" t="s">
        <v>48</v>
      </c>
      <c r="E317" s="9" t="s">
        <v>102</v>
      </c>
      <c r="F317" s="8"/>
      <c r="G317" s="8"/>
      <c r="H317" s="8"/>
      <c r="I317" s="8"/>
      <c r="J317" s="8"/>
      <c r="K317" s="8"/>
      <c r="L317" s="6" t="b">
        <v>1</v>
      </c>
    </row>
    <row r="318" spans="2:12" ht="15" customHeight="1">
      <c r="B318" s="5"/>
      <c r="D318" s="2" t="s">
        <v>50</v>
      </c>
      <c r="E318" s="9" t="s">
        <v>55</v>
      </c>
      <c r="F318" s="8"/>
      <c r="G318" s="8"/>
      <c r="H318" s="8"/>
      <c r="I318" s="8"/>
      <c r="J318" s="8"/>
      <c r="K318" s="8"/>
      <c r="L318" s="6" t="b">
        <v>0</v>
      </c>
    </row>
    <row r="319" spans="2:12" ht="15" customHeight="1">
      <c r="B319" s="5"/>
      <c r="D319" s="2" t="s">
        <v>52</v>
      </c>
      <c r="E319" s="9" t="s">
        <v>138</v>
      </c>
      <c r="F319" s="8"/>
      <c r="G319" s="8"/>
      <c r="H319" s="8"/>
      <c r="I319" s="8"/>
      <c r="J319" s="8"/>
      <c r="K319" s="8"/>
      <c r="L319" s="6" t="b">
        <v>0</v>
      </c>
    </row>
    <row r="320" spans="2:12" ht="7.95" customHeight="1"/>
    <row r="321" spans="1:12" ht="15" customHeight="1">
      <c r="B321" s="10" t="s">
        <v>188</v>
      </c>
      <c r="C321" s="8"/>
      <c r="D321" s="8"/>
      <c r="K321" s="4" t="s">
        <v>45</v>
      </c>
    </row>
    <row r="322" spans="1:12" ht="25.95" customHeight="1">
      <c r="B322" s="11" t="s">
        <v>189</v>
      </c>
      <c r="C322" s="8"/>
      <c r="D322" s="8"/>
      <c r="E322" s="8"/>
      <c r="F322" s="8"/>
      <c r="G322" s="8"/>
      <c r="H322" s="8"/>
      <c r="I322" s="8"/>
      <c r="J322" s="8"/>
      <c r="K322" s="8"/>
    </row>
    <row r="323" spans="1:12" ht="15" customHeight="1">
      <c r="B323" s="5"/>
      <c r="D323" s="2" t="s">
        <v>46</v>
      </c>
      <c r="E323" s="9" t="s">
        <v>190</v>
      </c>
      <c r="F323" s="8"/>
      <c r="G323" s="8"/>
      <c r="H323" s="8"/>
      <c r="I323" s="8"/>
      <c r="J323" s="8"/>
      <c r="K323" s="8"/>
      <c r="L323" s="6" t="b">
        <v>0</v>
      </c>
    </row>
    <row r="324" spans="1:12" ht="15" customHeight="1">
      <c r="B324" s="5"/>
      <c r="D324" s="2" t="s">
        <v>48</v>
      </c>
      <c r="E324" s="9" t="s">
        <v>191</v>
      </c>
      <c r="F324" s="8"/>
      <c r="G324" s="8"/>
      <c r="H324" s="8"/>
      <c r="I324" s="8"/>
      <c r="J324" s="8"/>
      <c r="K324" s="8"/>
      <c r="L324" s="6" t="b">
        <v>0</v>
      </c>
    </row>
    <row r="325" spans="1:12" ht="15" customHeight="1">
      <c r="B325" s="26" t="s">
        <v>235</v>
      </c>
      <c r="D325" s="2" t="s">
        <v>50</v>
      </c>
      <c r="E325" s="9" t="s">
        <v>192</v>
      </c>
      <c r="F325" s="8"/>
      <c r="G325" s="8"/>
      <c r="H325" s="8"/>
      <c r="I325" s="8"/>
      <c r="J325" s="8"/>
      <c r="K325" s="8"/>
      <c r="L325" s="6" t="b">
        <v>1</v>
      </c>
    </row>
    <row r="326" spans="1:12" ht="15" customHeight="1">
      <c r="B326" s="5"/>
      <c r="D326" s="2" t="s">
        <v>52</v>
      </c>
      <c r="E326" s="9" t="s">
        <v>193</v>
      </c>
      <c r="F326" s="8"/>
      <c r="G326" s="8"/>
      <c r="H326" s="8"/>
      <c r="I326" s="8"/>
      <c r="J326" s="8"/>
      <c r="K326" s="8"/>
      <c r="L326" s="6" t="b">
        <v>0</v>
      </c>
    </row>
    <row r="327" spans="1:12" ht="7.95" customHeight="1"/>
    <row r="328" spans="1:12" ht="15" customHeight="1">
      <c r="B328" s="10" t="s">
        <v>194</v>
      </c>
      <c r="C328" s="8"/>
      <c r="D328" s="8"/>
      <c r="K328" s="4" t="s">
        <v>45</v>
      </c>
    </row>
    <row r="329" spans="1:12" ht="25.95" customHeight="1">
      <c r="B329" s="13" t="s">
        <v>195</v>
      </c>
      <c r="C329" s="8"/>
      <c r="D329" s="8"/>
      <c r="E329" s="8"/>
      <c r="F329" s="8"/>
      <c r="G329" s="8"/>
      <c r="H329" s="8"/>
      <c r="I329" s="8"/>
      <c r="J329" s="8"/>
      <c r="K329" s="8"/>
    </row>
    <row r="330" spans="1:12" ht="15" customHeight="1">
      <c r="B330" s="5"/>
      <c r="D330" s="2" t="s">
        <v>46</v>
      </c>
      <c r="E330" s="9" t="s">
        <v>196</v>
      </c>
      <c r="F330" s="8"/>
      <c r="G330" s="8"/>
      <c r="H330" s="8"/>
      <c r="I330" s="8"/>
      <c r="J330" s="8"/>
      <c r="K330" s="8"/>
      <c r="L330" s="6" t="b">
        <v>0</v>
      </c>
    </row>
    <row r="331" spans="1:12" ht="15" customHeight="1">
      <c r="B331" s="5"/>
      <c r="D331" s="2" t="s">
        <v>48</v>
      </c>
      <c r="E331" s="9" t="s">
        <v>197</v>
      </c>
      <c r="F331" s="8"/>
      <c r="G331" s="8"/>
      <c r="H331" s="8"/>
      <c r="I331" s="8"/>
      <c r="J331" s="8"/>
      <c r="K331" s="8"/>
      <c r="L331" s="6" t="b">
        <v>0</v>
      </c>
    </row>
    <row r="332" spans="1:12" ht="15" customHeight="1">
      <c r="B332" s="5"/>
      <c r="D332" s="2" t="s">
        <v>50</v>
      </c>
      <c r="E332" s="9" t="s">
        <v>198</v>
      </c>
      <c r="F332" s="8"/>
      <c r="G332" s="8"/>
      <c r="H332" s="8"/>
      <c r="I332" s="8"/>
      <c r="J332" s="8"/>
      <c r="K332" s="8"/>
      <c r="L332" s="6" t="b">
        <v>0</v>
      </c>
    </row>
    <row r="333" spans="1:12" ht="15" customHeight="1">
      <c r="B333" s="26" t="s">
        <v>235</v>
      </c>
      <c r="D333" s="2" t="s">
        <v>52</v>
      </c>
      <c r="E333" s="9" t="s">
        <v>199</v>
      </c>
      <c r="F333" s="8"/>
      <c r="G333" s="8"/>
      <c r="H333" s="8"/>
      <c r="I333" s="8"/>
      <c r="J333" s="8"/>
      <c r="K333" s="8"/>
      <c r="L333" s="6" t="b">
        <v>1</v>
      </c>
    </row>
    <row r="334" spans="1:12" ht="7.95" customHeight="1" thickBot="1"/>
    <row r="335" spans="1:12">
      <c r="A335" s="28"/>
      <c r="B335" s="29"/>
      <c r="C335" s="30"/>
      <c r="D335" s="30"/>
      <c r="E335" s="30"/>
      <c r="F335" s="30"/>
      <c r="G335" s="30"/>
      <c r="H335" s="30"/>
      <c r="I335" s="30"/>
      <c r="J335" s="30"/>
    </row>
    <row r="336" spans="1:12">
      <c r="A336" s="31"/>
      <c r="B336" s="32"/>
      <c r="C336" s="34"/>
      <c r="D336" s="32"/>
      <c r="E336" s="32"/>
      <c r="F336" s="32"/>
      <c r="G336" s="32"/>
      <c r="H336" s="32"/>
      <c r="I336" s="32"/>
      <c r="J336" s="32"/>
    </row>
    <row r="337" spans="1:10" ht="45.6" customHeight="1">
      <c r="A337" s="31"/>
      <c r="B337" s="32"/>
      <c r="C337" s="35" t="s">
        <v>239</v>
      </c>
      <c r="D337" s="35"/>
      <c r="E337" s="35"/>
      <c r="F337" s="47" t="s">
        <v>2</v>
      </c>
      <c r="G337" s="47"/>
      <c r="H337" s="47"/>
      <c r="I337" s="47"/>
      <c r="J337" s="32"/>
    </row>
    <row r="338" spans="1:10" ht="20.399999999999999" customHeight="1">
      <c r="A338" s="31"/>
      <c r="B338" s="32"/>
      <c r="C338" s="36"/>
      <c r="D338" s="46"/>
      <c r="E338" s="46"/>
      <c r="F338" s="46"/>
      <c r="G338" s="46"/>
      <c r="H338" s="46"/>
      <c r="I338" s="46"/>
      <c r="J338" s="32"/>
    </row>
    <row r="339" spans="1:10">
      <c r="A339" s="31"/>
      <c r="B339" s="32"/>
      <c r="C339" s="35" t="s">
        <v>240</v>
      </c>
      <c r="D339" s="35"/>
      <c r="E339" s="35"/>
      <c r="F339" s="38" t="s">
        <v>4</v>
      </c>
      <c r="G339" s="38"/>
      <c r="H339" s="38"/>
      <c r="I339" s="38"/>
      <c r="J339" s="32"/>
    </row>
    <row r="340" spans="1:10">
      <c r="A340" s="31"/>
      <c r="B340" s="32"/>
      <c r="C340" s="37"/>
      <c r="D340" s="37"/>
      <c r="E340" s="37"/>
      <c r="F340" s="37"/>
      <c r="G340" s="37"/>
      <c r="H340" s="37"/>
      <c r="I340" s="37"/>
      <c r="J340" s="32"/>
    </row>
    <row r="341" spans="1:10">
      <c r="A341" s="31"/>
      <c r="B341" s="32"/>
      <c r="C341" s="35" t="s">
        <v>241</v>
      </c>
      <c r="D341" s="35"/>
      <c r="E341" s="35"/>
      <c r="F341" s="38"/>
      <c r="G341" s="38"/>
      <c r="H341" s="38"/>
      <c r="I341" s="38"/>
      <c r="J341" s="32"/>
    </row>
    <row r="342" spans="1:10">
      <c r="A342" s="31"/>
      <c r="B342" s="32"/>
      <c r="C342" s="33"/>
      <c r="D342" s="33"/>
      <c r="E342" s="33"/>
      <c r="F342" s="33"/>
      <c r="G342" s="33"/>
      <c r="H342" s="33"/>
      <c r="I342" s="33"/>
      <c r="J342" s="32"/>
    </row>
    <row r="343" spans="1:10">
      <c r="A343" s="31"/>
      <c r="B343" s="32"/>
      <c r="C343" s="32"/>
      <c r="D343" s="32"/>
      <c r="E343" s="32"/>
      <c r="F343" s="32"/>
      <c r="G343" s="32"/>
      <c r="H343" s="32"/>
      <c r="I343" s="32"/>
      <c r="J343" s="32"/>
    </row>
    <row r="344" spans="1:10">
      <c r="A344" s="31"/>
      <c r="B344" s="32"/>
      <c r="C344" s="39"/>
      <c r="D344" s="39"/>
      <c r="E344" s="39"/>
      <c r="F344" s="32"/>
      <c r="G344" s="32"/>
      <c r="H344" s="32"/>
      <c r="I344" s="32"/>
      <c r="J344" s="32"/>
    </row>
    <row r="345" spans="1:10">
      <c r="A345" s="31"/>
      <c r="B345" s="32"/>
      <c r="C345" s="32"/>
      <c r="D345" s="40"/>
      <c r="E345" s="40"/>
      <c r="F345" s="40"/>
      <c r="G345" s="40"/>
      <c r="H345" s="32"/>
      <c r="I345" s="32"/>
      <c r="J345" s="32"/>
    </row>
    <row r="346" spans="1:10">
      <c r="A346" s="31"/>
      <c r="B346" s="32"/>
      <c r="C346" s="32"/>
      <c r="D346" s="40"/>
      <c r="E346" s="40"/>
      <c r="F346" s="40"/>
      <c r="G346" s="40"/>
      <c r="H346" s="32"/>
      <c r="I346" s="32"/>
      <c r="J346" s="32"/>
    </row>
    <row r="347" spans="1:10">
      <c r="A347" s="31"/>
      <c r="B347" s="32"/>
      <c r="C347" s="32"/>
      <c r="D347" s="40"/>
      <c r="E347" s="40"/>
      <c r="F347" s="40"/>
      <c r="G347" s="40"/>
      <c r="H347" s="32"/>
      <c r="I347" s="32"/>
      <c r="J347" s="32"/>
    </row>
    <row r="348" spans="1:10">
      <c r="A348" s="31"/>
      <c r="B348" s="32"/>
      <c r="C348" s="32"/>
      <c r="D348" s="40"/>
      <c r="E348" s="40"/>
      <c r="F348" s="40"/>
      <c r="G348" s="40"/>
      <c r="H348" s="32"/>
      <c r="I348" s="32"/>
      <c r="J348" s="32"/>
    </row>
    <row r="349" spans="1:10">
      <c r="A349" s="31"/>
      <c r="B349" s="32"/>
      <c r="C349" s="32"/>
      <c r="D349" s="40"/>
      <c r="E349" s="40"/>
      <c r="F349" s="40"/>
      <c r="G349" s="40"/>
      <c r="H349" s="32"/>
      <c r="I349" s="32"/>
      <c r="J349" s="32"/>
    </row>
    <row r="350" spans="1:10">
      <c r="A350" s="31"/>
      <c r="B350" s="32"/>
      <c r="C350" s="32"/>
      <c r="D350" s="40"/>
      <c r="E350" s="40"/>
      <c r="F350" s="40"/>
      <c r="G350" s="40"/>
      <c r="H350" s="32"/>
      <c r="I350" s="32"/>
      <c r="J350" s="32"/>
    </row>
    <row r="351" spans="1:10">
      <c r="A351" s="31"/>
      <c r="B351" s="32"/>
      <c r="C351" s="32"/>
      <c r="D351" s="40"/>
      <c r="E351" s="40"/>
      <c r="F351" s="40"/>
      <c r="G351" s="40"/>
      <c r="H351" s="32"/>
      <c r="I351" s="32"/>
      <c r="J351" s="32"/>
    </row>
    <row r="352" spans="1:10">
      <c r="A352" s="31"/>
      <c r="B352" s="32"/>
      <c r="C352" s="32"/>
      <c r="D352" s="40"/>
      <c r="E352" s="40"/>
      <c r="F352" s="40"/>
      <c r="G352" s="40"/>
      <c r="H352" s="32"/>
      <c r="I352" s="32"/>
      <c r="J352" s="32"/>
    </row>
    <row r="353" spans="1:10">
      <c r="A353" s="31"/>
      <c r="B353" s="32"/>
      <c r="C353" s="32"/>
      <c r="D353" s="40"/>
      <c r="E353" s="40"/>
      <c r="F353" s="40"/>
      <c r="G353" s="40"/>
      <c r="H353" s="32"/>
      <c r="I353" s="32"/>
      <c r="J353" s="32"/>
    </row>
    <row r="354" spans="1:10">
      <c r="A354" s="31"/>
      <c r="B354" s="32"/>
      <c r="C354" s="32"/>
      <c r="D354" s="32"/>
      <c r="E354" s="32"/>
      <c r="F354" s="32"/>
      <c r="G354" s="32"/>
      <c r="H354" s="32"/>
      <c r="I354" s="32"/>
      <c r="J354" s="32"/>
    </row>
    <row r="355" spans="1:10">
      <c r="A355" s="31"/>
      <c r="B355" s="32"/>
      <c r="C355" s="32"/>
      <c r="D355" s="32"/>
      <c r="E355" s="32"/>
      <c r="F355" s="32"/>
      <c r="G355" s="32"/>
      <c r="H355" s="32"/>
      <c r="I355" s="32"/>
      <c r="J355" s="32"/>
    </row>
    <row r="356" spans="1:10">
      <c r="A356" s="31"/>
      <c r="B356" s="32"/>
      <c r="C356" s="43"/>
      <c r="D356" s="43"/>
      <c r="E356" s="32"/>
      <c r="F356" s="32"/>
      <c r="G356" s="41"/>
      <c r="H356" s="41"/>
      <c r="I356" s="41"/>
      <c r="J356" s="32"/>
    </row>
    <row r="357" spans="1:10">
      <c r="A357" s="31"/>
      <c r="B357" s="32"/>
      <c r="C357" s="42" t="s">
        <v>41</v>
      </c>
      <c r="D357" s="42"/>
      <c r="E357" s="32"/>
      <c r="F357" s="32"/>
      <c r="G357" s="42" t="s">
        <v>242</v>
      </c>
      <c r="H357" s="42"/>
      <c r="I357" s="42"/>
      <c r="J357" s="32"/>
    </row>
    <row r="358" spans="1:10">
      <c r="A358" s="31"/>
      <c r="B358" s="32"/>
      <c r="C358" s="32"/>
      <c r="D358" s="32"/>
      <c r="E358" s="32"/>
      <c r="F358" s="32"/>
      <c r="G358" s="32"/>
      <c r="H358" s="32"/>
      <c r="I358" s="32"/>
      <c r="J358" s="32"/>
    </row>
    <row r="359" spans="1:10">
      <c r="A359" s="31"/>
      <c r="B359" s="32"/>
      <c r="C359" s="32"/>
      <c r="D359" s="32"/>
      <c r="E359" s="32"/>
      <c r="F359" s="32"/>
      <c r="G359" s="32"/>
      <c r="H359" s="32"/>
      <c r="I359" s="32"/>
      <c r="J359" s="32"/>
    </row>
  </sheetData>
  <mergeCells count="322">
    <mergeCell ref="C357:D357"/>
    <mergeCell ref="G357:I357"/>
    <mergeCell ref="C356:D356"/>
    <mergeCell ref="E9:K10"/>
    <mergeCell ref="D350:E350"/>
    <mergeCell ref="F350:G350"/>
    <mergeCell ref="D351:E351"/>
    <mergeCell ref="F351:G351"/>
    <mergeCell ref="D352:E352"/>
    <mergeCell ref="F352:G352"/>
    <mergeCell ref="D353:E353"/>
    <mergeCell ref="F353:G353"/>
    <mergeCell ref="G356:I356"/>
    <mergeCell ref="D345:E345"/>
    <mergeCell ref="F345:G345"/>
    <mergeCell ref="D346:E346"/>
    <mergeCell ref="F346:G346"/>
    <mergeCell ref="D347:E347"/>
    <mergeCell ref="F347:G347"/>
    <mergeCell ref="D348:E348"/>
    <mergeCell ref="F348:G348"/>
    <mergeCell ref="D349:E349"/>
    <mergeCell ref="F349:G349"/>
    <mergeCell ref="C342:E342"/>
    <mergeCell ref="F342:I342"/>
    <mergeCell ref="C344:E344"/>
    <mergeCell ref="C335:J335"/>
    <mergeCell ref="C337:E337"/>
    <mergeCell ref="F337:I337"/>
    <mergeCell ref="C339:E339"/>
    <mergeCell ref="F339:I339"/>
    <mergeCell ref="C340:D340"/>
    <mergeCell ref="E340:I340"/>
    <mergeCell ref="C341:E341"/>
    <mergeCell ref="F341:I341"/>
    <mergeCell ref="E325:K325"/>
    <mergeCell ref="B168:K168"/>
    <mergeCell ref="E163:K163"/>
    <mergeCell ref="B84:K84"/>
    <mergeCell ref="E101:K101"/>
    <mergeCell ref="E113:K113"/>
    <mergeCell ref="B328:D328"/>
    <mergeCell ref="E85:K85"/>
    <mergeCell ref="E100:K100"/>
    <mergeCell ref="E256:K256"/>
    <mergeCell ref="B133:K133"/>
    <mergeCell ref="E183:K183"/>
    <mergeCell ref="E136:K136"/>
    <mergeCell ref="E326:K326"/>
    <mergeCell ref="B322:K322"/>
    <mergeCell ref="B279:D279"/>
    <mergeCell ref="E289:K289"/>
    <mergeCell ref="E298:K298"/>
    <mergeCell ref="E303:K303"/>
    <mergeCell ref="E312:K312"/>
    <mergeCell ref="E274:K274"/>
    <mergeCell ref="E170:K170"/>
    <mergeCell ref="B98:K98"/>
    <mergeCell ref="E123:K123"/>
    <mergeCell ref="E135:K135"/>
    <mergeCell ref="E150:K150"/>
    <mergeCell ref="E206:K206"/>
    <mergeCell ref="G13:K13"/>
    <mergeCell ref="E248:K248"/>
    <mergeCell ref="B224:K224"/>
    <mergeCell ref="D48:E48"/>
    <mergeCell ref="E297:K297"/>
    <mergeCell ref="E122:K122"/>
    <mergeCell ref="E235:K235"/>
    <mergeCell ref="E67:K67"/>
    <mergeCell ref="E34:F34"/>
    <mergeCell ref="G34:H34"/>
    <mergeCell ref="E127:K127"/>
    <mergeCell ref="E219:K219"/>
    <mergeCell ref="B265:D265"/>
    <mergeCell ref="E290:K290"/>
    <mergeCell ref="B160:D160"/>
    <mergeCell ref="B56:K56"/>
    <mergeCell ref="B70:K70"/>
    <mergeCell ref="B105:K105"/>
    <mergeCell ref="B161:K161"/>
    <mergeCell ref="E200:K200"/>
    <mergeCell ref="E36:F36"/>
    <mergeCell ref="B259:K259"/>
    <mergeCell ref="B62:D62"/>
    <mergeCell ref="B210:K210"/>
    <mergeCell ref="F11:K11"/>
    <mergeCell ref="D51:K54"/>
    <mergeCell ref="B125:D125"/>
    <mergeCell ref="E211:K211"/>
    <mergeCell ref="B175:K175"/>
    <mergeCell ref="E291:K291"/>
    <mergeCell ref="E186:K186"/>
    <mergeCell ref="B167:D167"/>
    <mergeCell ref="E226:K226"/>
    <mergeCell ref="E95:K95"/>
    <mergeCell ref="E260:K260"/>
    <mergeCell ref="D26:E26"/>
    <mergeCell ref="E275:K275"/>
    <mergeCell ref="D17:F17"/>
    <mergeCell ref="E66:K66"/>
    <mergeCell ref="E38:F38"/>
    <mergeCell ref="G38:H38"/>
    <mergeCell ref="E58:K58"/>
    <mergeCell ref="D11:E11"/>
    <mergeCell ref="E106:K106"/>
    <mergeCell ref="B83:D83"/>
    <mergeCell ref="E40:F40"/>
    <mergeCell ref="B251:D251"/>
    <mergeCell ref="B76:D76"/>
    <mergeCell ref="E331:K331"/>
    <mergeCell ref="B308:K308"/>
    <mergeCell ref="B111:D111"/>
    <mergeCell ref="B293:D293"/>
    <mergeCell ref="B217:K217"/>
    <mergeCell ref="E316:K316"/>
    <mergeCell ref="E197:K197"/>
    <mergeCell ref="E228:K228"/>
    <mergeCell ref="E120:K120"/>
    <mergeCell ref="E172:K172"/>
    <mergeCell ref="B189:K189"/>
    <mergeCell ref="E239:K239"/>
    <mergeCell ref="E184:K184"/>
    <mergeCell ref="B203:K203"/>
    <mergeCell ref="B146:D146"/>
    <mergeCell ref="E302:K302"/>
    <mergeCell ref="B126:K126"/>
    <mergeCell ref="E121:K121"/>
    <mergeCell ref="B280:K280"/>
    <mergeCell ref="E130:K130"/>
    <mergeCell ref="B139:D139"/>
    <mergeCell ref="E213:K213"/>
    <mergeCell ref="E151:K151"/>
    <mergeCell ref="E141:K141"/>
    <mergeCell ref="E318:K318"/>
    <mergeCell ref="E143:K143"/>
    <mergeCell ref="E205:K205"/>
    <mergeCell ref="H49:K49"/>
    <mergeCell ref="E94:K94"/>
    <mergeCell ref="E225:K225"/>
    <mergeCell ref="B272:D272"/>
    <mergeCell ref="E178:K178"/>
    <mergeCell ref="B244:D244"/>
    <mergeCell ref="E305:K305"/>
    <mergeCell ref="E162:K162"/>
    <mergeCell ref="E144:K144"/>
    <mergeCell ref="E57:K57"/>
    <mergeCell ref="B181:D181"/>
    <mergeCell ref="E227:K227"/>
    <mergeCell ref="E72:K72"/>
    <mergeCell ref="E148:K148"/>
    <mergeCell ref="E261:K261"/>
    <mergeCell ref="E246:K246"/>
    <mergeCell ref="E115:K115"/>
    <mergeCell ref="E317:K317"/>
    <mergeCell ref="E93:K93"/>
    <mergeCell ref="E198:K198"/>
    <mergeCell ref="B230:D230"/>
    <mergeCell ref="D18:K18"/>
    <mergeCell ref="G35:H35"/>
    <mergeCell ref="E177:K177"/>
    <mergeCell ref="E288:K288"/>
    <mergeCell ref="B321:D321"/>
    <mergeCell ref="E311:K311"/>
    <mergeCell ref="E78:K78"/>
    <mergeCell ref="B202:D202"/>
    <mergeCell ref="E149:K149"/>
    <mergeCell ref="E249:K249"/>
    <mergeCell ref="E176:K176"/>
    <mergeCell ref="B273:K273"/>
    <mergeCell ref="E114:K114"/>
    <mergeCell ref="E158:K158"/>
    <mergeCell ref="E59:K59"/>
    <mergeCell ref="E241:K241"/>
    <mergeCell ref="E304:K304"/>
    <mergeCell ref="E108:K108"/>
    <mergeCell ref="B147:K147"/>
    <mergeCell ref="E86:K86"/>
    <mergeCell ref="E191:K191"/>
    <mergeCell ref="B245:K245"/>
    <mergeCell ref="E80:K80"/>
    <mergeCell ref="E169:K169"/>
    <mergeCell ref="E330:K330"/>
    <mergeCell ref="E39:F39"/>
    <mergeCell ref="E134:K134"/>
    <mergeCell ref="E81:K81"/>
    <mergeCell ref="G39:H39"/>
    <mergeCell ref="E212:K212"/>
    <mergeCell ref="E164:K164"/>
    <mergeCell ref="B258:D258"/>
    <mergeCell ref="B63:K63"/>
    <mergeCell ref="E109:K109"/>
    <mergeCell ref="B154:K154"/>
    <mergeCell ref="E268:K268"/>
    <mergeCell ref="E277:K277"/>
    <mergeCell ref="E283:K283"/>
    <mergeCell ref="D49:E49"/>
    <mergeCell ref="E267:K267"/>
    <mergeCell ref="B209:D209"/>
    <mergeCell ref="E155:K155"/>
    <mergeCell ref="B231:K231"/>
    <mergeCell ref="B90:D90"/>
    <mergeCell ref="E137:K137"/>
    <mergeCell ref="B287:K287"/>
    <mergeCell ref="E220:K220"/>
    <mergeCell ref="E65:K65"/>
    <mergeCell ref="E332:K332"/>
    <mergeCell ref="E214:K214"/>
    <mergeCell ref="G37:H37"/>
    <mergeCell ref="B91:K91"/>
    <mergeCell ref="B300:D300"/>
    <mergeCell ref="E254:K254"/>
    <mergeCell ref="E31:F31"/>
    <mergeCell ref="E204:K204"/>
    <mergeCell ref="E269:K269"/>
    <mergeCell ref="E309:K309"/>
    <mergeCell ref="B140:K140"/>
    <mergeCell ref="E165:K165"/>
    <mergeCell ref="B238:K238"/>
    <mergeCell ref="E88:K88"/>
    <mergeCell ref="E253:K253"/>
    <mergeCell ref="E324:K324"/>
    <mergeCell ref="E262:K262"/>
    <mergeCell ref="B97:D97"/>
    <mergeCell ref="E87:K87"/>
    <mergeCell ref="B153:D153"/>
    <mergeCell ref="E156:K156"/>
    <mergeCell ref="E171:K171"/>
    <mergeCell ref="B237:D237"/>
    <mergeCell ref="E128:K128"/>
    <mergeCell ref="D28:E28"/>
    <mergeCell ref="B77:K77"/>
    <mergeCell ref="E240:K240"/>
    <mergeCell ref="B286:D286"/>
    <mergeCell ref="E333:K333"/>
    <mergeCell ref="D20:F20"/>
    <mergeCell ref="E190:K190"/>
    <mergeCell ref="E221:K221"/>
    <mergeCell ref="E295:K295"/>
    <mergeCell ref="E60:K60"/>
    <mergeCell ref="E32:F32"/>
    <mergeCell ref="E319:K319"/>
    <mergeCell ref="B329:K329"/>
    <mergeCell ref="E282:K282"/>
    <mergeCell ref="B315:K315"/>
    <mergeCell ref="E323:K323"/>
    <mergeCell ref="E284:K284"/>
    <mergeCell ref="B314:D314"/>
    <mergeCell ref="B301:K301"/>
    <mergeCell ref="G30:H30"/>
    <mergeCell ref="E64:K64"/>
    <mergeCell ref="E79:K79"/>
    <mergeCell ref="E73:K73"/>
    <mergeCell ref="B294:K294"/>
    <mergeCell ref="E74:K74"/>
    <mergeCell ref="G32:H32"/>
    <mergeCell ref="E41:F41"/>
    <mergeCell ref="B119:K119"/>
    <mergeCell ref="D22:F22"/>
    <mergeCell ref="G41:H41"/>
    <mergeCell ref="B307:D307"/>
    <mergeCell ref="E310:K310"/>
    <mergeCell ref="B182:K182"/>
    <mergeCell ref="E232:K232"/>
    <mergeCell ref="B196:K196"/>
    <mergeCell ref="B112:K112"/>
    <mergeCell ref="E207:K207"/>
    <mergeCell ref="E116:K116"/>
    <mergeCell ref="D13:F13"/>
    <mergeCell ref="E281:K281"/>
    <mergeCell ref="E296:K296"/>
    <mergeCell ref="B132:D132"/>
    <mergeCell ref="E179:K179"/>
    <mergeCell ref="E33:F33"/>
    <mergeCell ref="E42:F42"/>
    <mergeCell ref="G36:H36"/>
    <mergeCell ref="E218:K218"/>
    <mergeCell ref="D1:K5"/>
    <mergeCell ref="B266:K266"/>
    <mergeCell ref="B69:D69"/>
    <mergeCell ref="E193:K193"/>
    <mergeCell ref="E199:K199"/>
    <mergeCell ref="E255:K255"/>
    <mergeCell ref="B174:D174"/>
    <mergeCell ref="E35:F35"/>
    <mergeCell ref="E242:K242"/>
    <mergeCell ref="B118:D118"/>
    <mergeCell ref="E192:K192"/>
    <mergeCell ref="E263:K263"/>
    <mergeCell ref="B252:K252"/>
    <mergeCell ref="B55:D55"/>
    <mergeCell ref="D15:F15"/>
    <mergeCell ref="E71:K71"/>
    <mergeCell ref="E129:K129"/>
    <mergeCell ref="E142:K142"/>
    <mergeCell ref="D24:F24"/>
    <mergeCell ref="E185:K185"/>
    <mergeCell ref="E247:K247"/>
    <mergeCell ref="B104:D104"/>
    <mergeCell ref="E30:F30"/>
    <mergeCell ref="E234:K234"/>
    <mergeCell ref="E37:F37"/>
    <mergeCell ref="E276:K276"/>
    <mergeCell ref="G31:H31"/>
    <mergeCell ref="E99:K99"/>
    <mergeCell ref="E157:K157"/>
    <mergeCell ref="B223:D223"/>
    <mergeCell ref="G40:H40"/>
    <mergeCell ref="E270:K270"/>
    <mergeCell ref="B195:D195"/>
    <mergeCell ref="G33:H33"/>
    <mergeCell ref="B216:D216"/>
    <mergeCell ref="E107:K107"/>
    <mergeCell ref="B188:D188"/>
    <mergeCell ref="G42:H42"/>
    <mergeCell ref="H48:K48"/>
    <mergeCell ref="D45:E45"/>
    <mergeCell ref="E233:K233"/>
    <mergeCell ref="E102:K102"/>
    <mergeCell ref="E92:K92"/>
    <mergeCell ref="H46:K47"/>
    <mergeCell ref="E47:F47"/>
  </mergeCells>
  <dataValidations count="1">
    <dataValidation type="custom" allowBlank="1" showErrorMessage="1" errorTitle="Ungültige Eingabe" error="Bitte nur &quot;X&quot; eintragen oder leer lassen." sqref="B57 B58 B59 B60 B64 B65 B66 B67 B71 B72 B73 B74 B78 B79 B80 B81 B85 B86 B87 B88 B92 B93 B94 B95 B99 B100 B101 B102 B106 B107 B108 B109 B113 B114 B115 B116 B120 B121 B122 B123 B127 B128 B129 B130 B134 B135 B136 B137 B141 B142 B143 B144 B148 B149 B150 B151 B155 B156 B157 B158 B162 B163 B164 B165 B169 B170 B171 B172 B176 B177 B178 B179 B183 B184 B185 B186 B190 B191 B192 B193 B197 B198 B199 B200 B204 B205 B206 B207 B211 B212 B213 B214 B218 B219 B220 B221 B225 B226 B227 B228 B232 B233 B234 B235 B239 B240 B241 B242 B246 B247 B248 B249 B253 B254 B255 B256 B260 B261 B262 B263 B267 B268 B269 B270 B274 B275 B276 B277 B281 B282 B283 B284 B288 B289 B290 B291 B295 B296 B297 B298 B302 B303 B304 B305 B309 B310 B311 B312 B316 B317 B318 B319 B323 B324 B325 B326 B330 B331 B332 B333" xr:uid="{00000000-0002-0000-0000-000000000000}">
      <formula1>OR(B1="",UPPER(B1)="X")</formula1>
    </dataValidation>
  </dataValidation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Klausur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 Döbbel</cp:lastModifiedBy>
  <dcterms:created xsi:type="dcterms:W3CDTF">2026-05-11T13:39:53Z</dcterms:created>
  <dcterms:modified xsi:type="dcterms:W3CDTF">2026-05-11T14:14:37Z</dcterms:modified>
</cp:coreProperties>
</file>